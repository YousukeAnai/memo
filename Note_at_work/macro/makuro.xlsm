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8480" windowHeight="4730" firstSheet="26" activeTab="28"/>
  </bookViews>
  <sheets>
    <sheet name="macroﾃﾞﾊﾞｯｸﾞはまり事例" sheetId="28" r:id="rId1"/>
    <sheet name="Sheet1" sheetId="1" r:id="rId2"/>
    <sheet name="Sheet2" sheetId="2" r:id="rId3"/>
    <sheet name="Sheet3" sheetId="3" r:id="rId4"/>
    <sheet name="Sheet3 (3)" sheetId="5" r:id="rId5"/>
    <sheet name="Sheet4" sheetId="4" r:id="rId6"/>
    <sheet name="Sheet4 (3)" sheetId="17" r:id="rId7"/>
    <sheet name="Sheet5" sheetId="6" r:id="rId8"/>
    <sheet name="Sheet4 (2)" sheetId="7" r:id="rId9"/>
    <sheet name="Sheet7" sheetId="8" r:id="rId10"/>
    <sheet name="Sheet7 (2)" sheetId="9" r:id="rId11"/>
    <sheet name="Sheet6" sheetId="10" r:id="rId12"/>
    <sheet name="Sheet8" sheetId="12" r:id="rId13"/>
    <sheet name="Sheet8(2)" sheetId="13" r:id="rId14"/>
    <sheet name="Sheet11" sheetId="14" r:id="rId15"/>
    <sheet name="Sheet9" sheetId="29" r:id="rId16"/>
    <sheet name="Sheet12" sheetId="15" r:id="rId17"/>
    <sheet name="Sheet13" sheetId="16" r:id="rId18"/>
    <sheet name="Sheet14" sheetId="18" r:id="rId19"/>
    <sheet name="Sheet15" sheetId="19" r:id="rId20"/>
    <sheet name="Sheet16" sheetId="22" r:id="rId21"/>
    <sheet name="ADXL_RESULT作成" sheetId="23" r:id="rId22"/>
    <sheet name="まとめ＿" sheetId="24" r:id="rId23"/>
    <sheet name="Sheet14 (3)" sheetId="25" r:id="rId24"/>
    <sheet name="ADXL_RESULT_select作成" sheetId="33" r:id="rId25"/>
    <sheet name="Sheet17" sheetId="26" r:id="rId26"/>
    <sheet name="make_alter作成" sheetId="27" r:id="rId27"/>
    <sheet name="probe_devide作成" sheetId="30" r:id="rId28"/>
    <sheet name="NTTD国税_分析表作成" sheetId="34" r:id="rId29"/>
    <sheet name="NTTD国税_貼り付け" sheetId="35" r:id="rId30"/>
    <sheet name="Sheet10" sheetId="36" r:id="rId31"/>
  </sheets>
  <calcPr calcId="145621"/>
  <fileRecoveryPr repairLoad="1"/>
</workbook>
</file>

<file path=xl/calcChain.xml><?xml version="1.0" encoding="utf-8"?>
<calcChain xmlns="http://schemas.openxmlformats.org/spreadsheetml/2006/main">
  <c r="L104" i="14" l="1"/>
  <c r="L103" i="14"/>
  <c r="L102" i="14"/>
  <c r="L101" i="14"/>
  <c r="L100" i="14"/>
  <c r="K106" i="14" s="1"/>
  <c r="L99" i="14"/>
  <c r="K107" i="14"/>
  <c r="K105" i="14"/>
  <c r="L84" i="14"/>
  <c r="L83" i="14"/>
  <c r="L82" i="14"/>
  <c r="L98" i="14"/>
  <c r="L97" i="14"/>
  <c r="L96" i="14"/>
  <c r="L95" i="14"/>
  <c r="L94" i="14"/>
  <c r="BN26" i="19" l="1"/>
  <c r="BN35" i="19"/>
  <c r="BN21" i="19"/>
  <c r="BN32" i="19"/>
  <c r="BN18" i="19"/>
  <c r="BP10" i="19"/>
  <c r="BP9" i="19"/>
  <c r="AK25" i="22" l="1"/>
  <c r="AK23" i="22"/>
  <c r="T20" i="22" l="1"/>
  <c r="T18" i="22"/>
  <c r="T16" i="22"/>
  <c r="T13" i="22"/>
  <c r="AZ26" i="22"/>
  <c r="AZ24" i="22"/>
  <c r="AZ21" i="22"/>
  <c r="AP20" i="22"/>
  <c r="AK20" i="22"/>
  <c r="AE20" i="22"/>
  <c r="AZ18" i="22"/>
  <c r="AP18" i="22"/>
  <c r="AK18" i="22"/>
  <c r="AE18" i="22"/>
  <c r="AU17" i="22"/>
  <c r="AP16" i="22"/>
  <c r="AK16" i="22"/>
  <c r="AE16" i="22"/>
  <c r="AU13" i="22"/>
  <c r="AP13" i="22"/>
  <c r="AK13" i="22"/>
  <c r="AE13" i="22"/>
  <c r="BB10" i="22"/>
  <c r="BB9" i="22"/>
  <c r="BA10" i="19" l="1"/>
  <c r="BA9" i="19"/>
  <c r="AY26" i="19" l="1"/>
  <c r="AY24" i="19"/>
  <c r="AY21" i="19"/>
  <c r="AY18" i="19"/>
  <c r="AT17" i="19" l="1"/>
  <c r="AT13" i="19"/>
  <c r="AO20" i="19"/>
  <c r="AO18" i="19"/>
  <c r="AO16" i="19"/>
  <c r="AO13" i="19"/>
  <c r="AJ20" i="19"/>
  <c r="AJ18" i="19"/>
  <c r="AJ16" i="19"/>
  <c r="AJ13" i="19"/>
  <c r="AD20" i="19" l="1"/>
  <c r="AD18" i="19"/>
  <c r="AD16" i="19"/>
  <c r="AD13" i="19"/>
  <c r="S46" i="19"/>
  <c r="S44" i="19"/>
  <c r="S42" i="19"/>
  <c r="S39" i="19"/>
  <c r="D29" i="1" l="1"/>
  <c r="D36" i="1" s="1"/>
  <c r="D43" i="1" s="1"/>
  <c r="D50" i="1" s="1"/>
  <c r="D57" i="1" s="1"/>
  <c r="D64" i="1" s="1"/>
  <c r="D71" i="1" s="1"/>
  <c r="D78" i="1" s="1"/>
  <c r="D85" i="1" s="1"/>
  <c r="D92" i="1" s="1"/>
  <c r="C29" i="1"/>
  <c r="C36" i="1" s="1"/>
  <c r="C43" i="1" s="1"/>
  <c r="C50" i="1" s="1"/>
  <c r="C57" i="1" s="1"/>
  <c r="C64" i="1" s="1"/>
  <c r="C71" i="1" s="1"/>
  <c r="C78" i="1" s="1"/>
  <c r="C85" i="1" s="1"/>
  <c r="C92" i="1" s="1"/>
  <c r="D28" i="1"/>
  <c r="D35" i="1"/>
  <c r="D42" i="1" s="1"/>
  <c r="D49" i="1" s="1"/>
  <c r="D56" i="1" s="1"/>
  <c r="D63" i="1" s="1"/>
  <c r="D70" i="1" s="1"/>
  <c r="D77" i="1" s="1"/>
  <c r="D84" i="1" s="1"/>
  <c r="D91" i="1" s="1"/>
  <c r="C28" i="1"/>
  <c r="C35" i="1" s="1"/>
  <c r="C42" i="1" s="1"/>
  <c r="C49" i="1" s="1"/>
  <c r="C56" i="1" s="1"/>
  <c r="C63" i="1" s="1"/>
  <c r="C70" i="1" s="1"/>
  <c r="C77" i="1" s="1"/>
  <c r="C84" i="1" s="1"/>
  <c r="C91" i="1" s="1"/>
  <c r="D27" i="1"/>
  <c r="D34" i="1" s="1"/>
  <c r="D41" i="1" s="1"/>
  <c r="D48" i="1" s="1"/>
  <c r="D55" i="1" s="1"/>
  <c r="D62" i="1" s="1"/>
  <c r="D69" i="1" s="1"/>
  <c r="D76" i="1" s="1"/>
  <c r="D83" i="1" s="1"/>
  <c r="D90" i="1" s="1"/>
  <c r="C34" i="1"/>
  <c r="C41" i="1" s="1"/>
  <c r="C48" i="1" s="1"/>
  <c r="C55" i="1" s="1"/>
  <c r="C62" i="1" s="1"/>
  <c r="C69" i="1" s="1"/>
  <c r="C76" i="1" s="1"/>
  <c r="C83" i="1" s="1"/>
  <c r="C90" i="1" s="1"/>
  <c r="D33" i="1"/>
  <c r="D40" i="1" s="1"/>
  <c r="D47" i="1" s="1"/>
  <c r="D54" i="1" s="1"/>
  <c r="D61" i="1" s="1"/>
  <c r="D68" i="1" s="1"/>
  <c r="D75" i="1" s="1"/>
  <c r="D82" i="1" s="1"/>
  <c r="D89" i="1" s="1"/>
  <c r="C33" i="1"/>
  <c r="C40" i="1" s="1"/>
  <c r="C47" i="1" s="1"/>
  <c r="C54" i="1" s="1"/>
  <c r="C61" i="1" s="1"/>
  <c r="C68" i="1" s="1"/>
  <c r="C75" i="1" s="1"/>
  <c r="C82" i="1" s="1"/>
  <c r="C89" i="1" s="1"/>
  <c r="C32" i="1"/>
  <c r="C39" i="1"/>
  <c r="C46" i="1" s="1"/>
  <c r="C53" i="1" s="1"/>
  <c r="C60" i="1" s="1"/>
  <c r="C67" i="1" s="1"/>
  <c r="C74" i="1" s="1"/>
  <c r="C81" i="1" s="1"/>
  <c r="C88" i="1" s="1"/>
  <c r="C31" i="1"/>
  <c r="C38" i="1"/>
  <c r="C45" i="1" s="1"/>
  <c r="C52" i="1" s="1"/>
  <c r="C59" i="1" s="1"/>
  <c r="C66" i="1" s="1"/>
  <c r="C73" i="1" s="1"/>
  <c r="C80" i="1" s="1"/>
  <c r="C87" i="1" s="1"/>
  <c r="C30" i="1"/>
  <c r="C37" i="1" s="1"/>
  <c r="C44" i="1" s="1"/>
  <c r="C51" i="1" s="1"/>
  <c r="C58" i="1" s="1"/>
  <c r="C65" i="1" s="1"/>
  <c r="C72" i="1" s="1"/>
  <c r="C79" i="1" s="1"/>
  <c r="C86" i="1" s="1"/>
  <c r="D31" i="1"/>
  <c r="D38" i="1"/>
  <c r="D45" i="1" s="1"/>
  <c r="D52" i="1" s="1"/>
  <c r="D59" i="1" s="1"/>
  <c r="D66" i="1" s="1"/>
  <c r="D73" i="1" s="1"/>
  <c r="D80" i="1" s="1"/>
  <c r="D87" i="1" s="1"/>
  <c r="D30" i="1"/>
  <c r="D37" i="1"/>
  <c r="D44" i="1" s="1"/>
  <c r="D51" i="1" s="1"/>
  <c r="D58" i="1" s="1"/>
  <c r="D65" i="1" s="1"/>
  <c r="D72" i="1" s="1"/>
  <c r="D79" i="1" s="1"/>
  <c r="D86" i="1" s="1"/>
  <c r="D32" i="1"/>
  <c r="D39" i="1" s="1"/>
  <c r="D46" i="1" s="1"/>
  <c r="D53" i="1" s="1"/>
  <c r="D60" i="1" s="1"/>
  <c r="D67" i="1" s="1"/>
  <c r="D74" i="1" s="1"/>
  <c r="D81" i="1" s="1"/>
  <c r="D88" i="1" s="1"/>
</calcChain>
</file>

<file path=xl/connections.xml><?xml version="1.0" encoding="utf-8"?>
<connections xmlns="http://schemas.openxmlformats.org/spreadsheetml/2006/main">
  <connection id="1" name="新規 Microsoft Excel ワークシート1" type="6" refreshedVersion="0" background="1">
    <textPr prompt="0" sourceFile="新規 Microsoft Excel ワークシート1.csv">
      <textFields>
        <textField/>
      </textFields>
    </textPr>
  </connection>
  <connection id="2" name="新規 Microsoft Excel ワークシート11" type="6" refreshedVersion="0" background="1">
    <textPr prompt="0" sourceFile="新規 Microsoft Excel ワークシート1.csv">
      <textFields>
        <textField/>
      </textFields>
    </textPr>
  </connection>
  <connection id="3" name="新規 Microsoft Excel ワークシート12" type="6" refreshedVersion="0" background="1">
    <textPr prompt="0" sourceFile="新規 Microsoft Excel ワークシート1.csv">
      <textFields>
        <textField/>
      </textFields>
    </textPr>
  </connection>
  <connection id="4" name="新規 Microsoft Excel ワークシート13" type="6" refreshedVersion="0" background="1">
    <textPr prompt="0" sourceFile="新規 Microsoft Excel ワークシート1.csv">
      <textFields>
        <textField/>
      </textFields>
    </textPr>
  </connection>
  <connection id="5" name="新規 Microsoft Excel ワークシート14" type="6" refreshedVersion="0" background="1">
    <textPr prompt="0" sourceFile="新規 Microsoft Excel ワークシート1.csv">
      <textFields>
        <textField/>
      </textFields>
    </textPr>
  </connection>
  <connection id="6" name="新規 Microsoft Excel ワークシート15" type="6" refreshedVersion="0" background="1">
    <textPr prompt="0" sourceFile="新規 Microsoft Excel ワークシート1.csv">
      <textFields>
        <textField/>
      </textFields>
    </textPr>
  </connection>
</connections>
</file>

<file path=xl/sharedStrings.xml><?xml version="1.0" encoding="utf-8"?>
<sst xmlns="http://schemas.openxmlformats.org/spreadsheetml/2006/main" count="6642" uniqueCount="754">
  <si>
    <t>クロック</t>
    <phoneticPr fontId="1"/>
  </si>
  <si>
    <t>信号</t>
    <rPh sb="0" eb="2">
      <t>シンゴウ</t>
    </rPh>
    <phoneticPr fontId="1"/>
  </si>
  <si>
    <t>クロックの2.5より下から2.5より上になるところを調査</t>
    <rPh sb="10" eb="11">
      <t>シタ</t>
    </rPh>
    <rPh sb="18" eb="19">
      <t>ウエ</t>
    </rPh>
    <rPh sb="26" eb="28">
      <t>チョウサ</t>
    </rPh>
    <phoneticPr fontId="1"/>
  </si>
  <si>
    <t>1の時の時間を調査</t>
    <rPh sb="2" eb="3">
      <t>トキ</t>
    </rPh>
    <rPh sb="4" eb="6">
      <t>ジカン</t>
    </rPh>
    <rPh sb="7" eb="9">
      <t>チョウサ</t>
    </rPh>
    <phoneticPr fontId="1"/>
  </si>
  <si>
    <t>クロックの2.5より上から2.5より下になるところを調査</t>
    <rPh sb="10" eb="11">
      <t>ウエ</t>
    </rPh>
    <rPh sb="18" eb="19">
      <t>シタ</t>
    </rPh>
    <rPh sb="26" eb="28">
      <t>チョウサ</t>
    </rPh>
    <phoneticPr fontId="1"/>
  </si>
  <si>
    <t>３の時間を調査</t>
    <rPh sb="2" eb="4">
      <t>ジカン</t>
    </rPh>
    <rPh sb="5" eb="7">
      <t>チョウサ</t>
    </rPh>
    <phoneticPr fontId="1"/>
  </si>
  <si>
    <t>クロックである前提</t>
    <rPh sb="7" eb="9">
      <t>ゼンテイ</t>
    </rPh>
    <phoneticPr fontId="1"/>
  </si>
  <si>
    <t>開始時間、終了時間を設定</t>
    <rPh sb="0" eb="2">
      <t>カイシ</t>
    </rPh>
    <rPh sb="2" eb="4">
      <t>ジカン</t>
    </rPh>
    <rPh sb="5" eb="7">
      <t>シュウリョウ</t>
    </rPh>
    <rPh sb="7" eb="9">
      <t>ジカン</t>
    </rPh>
    <rPh sb="10" eb="12">
      <t>セッテイ</t>
    </rPh>
    <phoneticPr fontId="1"/>
  </si>
  <si>
    <t>6の範囲内で信号が2.5以上かどうか調べ、以上なら指定セルに1を、以下なら指定セルに0を入れる</t>
    <rPh sb="2" eb="5">
      <t>ハンイナイ</t>
    </rPh>
    <rPh sb="6" eb="8">
      <t>シンゴウ</t>
    </rPh>
    <rPh sb="12" eb="14">
      <t>イジョウ</t>
    </rPh>
    <rPh sb="18" eb="19">
      <t>シラ</t>
    </rPh>
    <rPh sb="21" eb="23">
      <t>イジョウ</t>
    </rPh>
    <rPh sb="25" eb="27">
      <t>シテイ</t>
    </rPh>
    <rPh sb="33" eb="35">
      <t>イカ</t>
    </rPh>
    <rPh sb="37" eb="39">
      <t>シテイ</t>
    </rPh>
    <rPh sb="44" eb="45">
      <t>イ</t>
    </rPh>
    <phoneticPr fontId="1"/>
  </si>
  <si>
    <t>IF文で2.5より上のところを調査</t>
    <rPh sb="2" eb="3">
      <t>ブン</t>
    </rPh>
    <rPh sb="9" eb="10">
      <t>ウエ</t>
    </rPh>
    <rPh sb="15" eb="17">
      <t>チョウサ</t>
    </rPh>
    <phoneticPr fontId="1"/>
  </si>
  <si>
    <t>IF文で2.5より下のところを調査</t>
    <rPh sb="2" eb="3">
      <t>ブン</t>
    </rPh>
    <rPh sb="9" eb="10">
      <t>シタ</t>
    </rPh>
    <rPh sb="15" eb="17">
      <t>チョウサ</t>
    </rPh>
    <phoneticPr fontId="1"/>
  </si>
  <si>
    <t>変数1,2を指定</t>
    <rPh sb="0" eb="2">
      <t>ヘンスウ</t>
    </rPh>
    <rPh sb="6" eb="8">
      <t>シテイ</t>
    </rPh>
    <phoneticPr fontId="1"/>
  </si>
  <si>
    <t>変数3に入れる</t>
    <rPh sb="0" eb="2">
      <t>ヘンスウ</t>
    </rPh>
    <rPh sb="4" eb="5">
      <t>イ</t>
    </rPh>
    <phoneticPr fontId="1"/>
  </si>
  <si>
    <t>変数4に入れる</t>
    <rPh sb="0" eb="2">
      <t>ヘンスウ</t>
    </rPh>
    <rPh sb="4" eb="5">
      <t>イ</t>
    </rPh>
    <phoneticPr fontId="1"/>
  </si>
  <si>
    <t>変数3,4,5からDUTYと周期、周波数を出し、指定セルに記入</t>
    <rPh sb="0" eb="2">
      <t>ヘンスウ</t>
    </rPh>
    <rPh sb="14" eb="16">
      <t>シュウキ</t>
    </rPh>
    <rPh sb="17" eb="20">
      <t>シュウハスウ</t>
    </rPh>
    <rPh sb="21" eb="22">
      <t>ダ</t>
    </rPh>
    <rPh sb="24" eb="26">
      <t>シテイ</t>
    </rPh>
    <rPh sb="29" eb="31">
      <t>キニュウ</t>
    </rPh>
    <phoneticPr fontId="1"/>
  </si>
  <si>
    <t>周期の両端からそれぞれ1％内側の時間を選択</t>
    <rPh sb="0" eb="2">
      <t>シュウキ</t>
    </rPh>
    <rPh sb="3" eb="5">
      <t>リョウタン</t>
    </rPh>
    <rPh sb="13" eb="15">
      <t>ウチガワ</t>
    </rPh>
    <rPh sb="16" eb="18">
      <t>ジカン</t>
    </rPh>
    <rPh sb="19" eb="21">
      <t>センタク</t>
    </rPh>
    <phoneticPr fontId="1"/>
  </si>
  <si>
    <t>変数5，6に入れる</t>
    <rPh sb="0" eb="2">
      <t>ヘンスウ</t>
    </rPh>
    <rPh sb="6" eb="7">
      <t>イ</t>
    </rPh>
    <phoneticPr fontId="1"/>
  </si>
  <si>
    <t>1‐7を終了時間まで実施</t>
    <rPh sb="4" eb="6">
      <t>シュウリョウ</t>
    </rPh>
    <rPh sb="6" eb="8">
      <t>ジカン</t>
    </rPh>
    <rPh sb="10" eb="12">
      <t>ジッシ</t>
    </rPh>
    <phoneticPr fontId="1"/>
  </si>
  <si>
    <t>8を連結して2進数にする</t>
    <rPh sb="2" eb="4">
      <t>レンケツ</t>
    </rPh>
    <rPh sb="7" eb="9">
      <t>シンスウ</t>
    </rPh>
    <phoneticPr fontId="1"/>
  </si>
  <si>
    <t>11001000000</t>
    <phoneticPr fontId="1"/>
  </si>
  <si>
    <t>入力ﾉｰﾄﾞ名</t>
    <rPh sb="0" eb="2">
      <t>ニュウリョク</t>
    </rPh>
    <rPh sb="6" eb="7">
      <t>メイ</t>
    </rPh>
    <phoneticPr fontId="1"/>
  </si>
  <si>
    <t>出力ﾉｰﾄﾞ名</t>
    <rPh sb="0" eb="2">
      <t>シュツリョク</t>
    </rPh>
    <rPh sb="6" eb="7">
      <t>メイ</t>
    </rPh>
    <phoneticPr fontId="1"/>
  </si>
  <si>
    <t>電源名</t>
    <rPh sb="0" eb="2">
      <t>デンゲン</t>
    </rPh>
    <rPh sb="2" eb="3">
      <t>メイ</t>
    </rPh>
    <phoneticPr fontId="1"/>
  </si>
  <si>
    <t>IDC("AVDD",value())</t>
    <phoneticPr fontId="1"/>
  </si>
  <si>
    <t>VCC</t>
    <phoneticPr fontId="1"/>
  </si>
  <si>
    <t>VIN</t>
    <phoneticPr fontId="1"/>
  </si>
  <si>
    <t>VOUT</t>
    <phoneticPr fontId="1"/>
  </si>
  <si>
    <t>消費電流</t>
    <rPh sb="0" eb="2">
      <t>ショウヒ</t>
    </rPh>
    <rPh sb="2" eb="4">
      <t>デンリュウ</t>
    </rPh>
    <phoneticPr fontId="1"/>
  </si>
  <si>
    <t>温度</t>
    <rPh sb="0" eb="2">
      <t>オンド</t>
    </rPh>
    <phoneticPr fontId="1"/>
  </si>
  <si>
    <t>IDC("VCC",value(25))</t>
    <phoneticPr fontId="1"/>
  </si>
  <si>
    <t>Ta</t>
    <phoneticPr fontId="1"/>
  </si>
  <si>
    <t>5V_MOS</t>
    <phoneticPr fontId="1"/>
  </si>
  <si>
    <t>LDMOS</t>
    <phoneticPr fontId="1"/>
  </si>
  <si>
    <t>TYP</t>
    <phoneticPr fontId="1"/>
  </si>
  <si>
    <t>Low</t>
    <phoneticPr fontId="1"/>
  </si>
  <si>
    <t>High</t>
    <phoneticPr fontId="1"/>
  </si>
  <si>
    <t>IDD</t>
    <phoneticPr fontId="1"/>
  </si>
  <si>
    <t>Paramater</t>
    <phoneticPr fontId="1"/>
  </si>
  <si>
    <t>Freq</t>
  </si>
  <si>
    <t>Freq</t>
    <phoneticPr fontId="1"/>
  </si>
  <si>
    <t>cor1</t>
  </si>
  <si>
    <t>cor1</t>
    <phoneticPr fontId="1"/>
  </si>
  <si>
    <t>cor2</t>
  </si>
  <si>
    <t>cor3</t>
  </si>
  <si>
    <t>cor4</t>
  </si>
  <si>
    <t>cor5</t>
  </si>
  <si>
    <t>cor6</t>
  </si>
  <si>
    <t>cor7</t>
  </si>
  <si>
    <t>cor8</t>
  </si>
  <si>
    <t>cor9</t>
  </si>
  <si>
    <t>cor10</t>
  </si>
  <si>
    <t>cor11</t>
  </si>
  <si>
    <t>cor12</t>
  </si>
  <si>
    <t>cor13</t>
  </si>
  <si>
    <t>cor14</t>
  </si>
  <si>
    <t>cor15</t>
  </si>
  <si>
    <t>cor16</t>
  </si>
  <si>
    <t>nom</t>
    <phoneticPr fontId="1"/>
  </si>
  <si>
    <t>pass/fail</t>
  </si>
  <si>
    <t>pass/fail</t>
    <phoneticPr fontId="1"/>
  </si>
  <si>
    <t>特性</t>
  </si>
  <si>
    <t>MIN</t>
  </si>
  <si>
    <t>TYP</t>
  </si>
  <si>
    <t>MAX</t>
  </si>
  <si>
    <t>ｺｰﾅ条件</t>
  </si>
  <si>
    <t>IDD</t>
  </si>
  <si>
    <t>VCC</t>
  </si>
  <si>
    <t>Ta</t>
  </si>
  <si>
    <t>5V_MOS</t>
  </si>
  <si>
    <t>LDMOS</t>
  </si>
  <si>
    <t>Low</t>
  </si>
  <si>
    <t>High</t>
  </si>
  <si>
    <t>IDD_MIN</t>
  </si>
  <si>
    <t>Freq_MIN</t>
  </si>
  <si>
    <t>IDD_MAX</t>
  </si>
  <si>
    <t>Freq_MAX</t>
  </si>
  <si>
    <t>Pass/Fail</t>
    <phoneticPr fontId="1"/>
  </si>
  <si>
    <t>cor17</t>
  </si>
  <si>
    <t>cor18</t>
  </si>
  <si>
    <t>cor19</t>
  </si>
  <si>
    <t>cor20</t>
  </si>
  <si>
    <t>Pass/Fail</t>
  </si>
  <si>
    <t>VCC4.5V,Ta-40℃_IDD_MIN</t>
  </si>
  <si>
    <t>VCC4.5V,Ta-40℃_IDD_MAX</t>
  </si>
  <si>
    <t>VCC5.5V,Ta-40℃_IDD_MIN</t>
  </si>
  <si>
    <t>VCC5.5V,Ta-40℃_IDD_MAX</t>
  </si>
  <si>
    <t>VCC5.5V,Ta150℃_IDD_MIN</t>
  </si>
  <si>
    <t>VCC5.5V,Ta150℃_IDD_MAX</t>
  </si>
  <si>
    <t>VCC4.5V,Ta-40℃_Freq_MAX</t>
  </si>
  <si>
    <t>VCC4.5V,Ta-40℃_Freq_MIN</t>
  </si>
  <si>
    <t>VCC5.5V,Ta-40℃_Freq_MIN</t>
  </si>
  <si>
    <t>VCC5.5V,Ta-40℃_Freq_MAX</t>
  </si>
  <si>
    <t>VCC5.5V,Ta150℃_Freq_MAX</t>
  </si>
  <si>
    <t>VCC5.5V,Ta150℃_Freq_MIN</t>
  </si>
  <si>
    <t>単位</t>
  </si>
  <si>
    <t>m</t>
  </si>
  <si>
    <t>k</t>
  </si>
  <si>
    <t>VCC4.5V,Ta-40℃</t>
    <phoneticPr fontId="1"/>
  </si>
  <si>
    <t>VCC5.5V,Ta-40℃</t>
    <phoneticPr fontId="1"/>
  </si>
  <si>
    <t>VCC5.5V,Ta150℃</t>
    <phoneticPr fontId="1"/>
  </si>
  <si>
    <t>/user2/cae_lib/180td_h150/eldo/5V_MOS Low</t>
  </si>
  <si>
    <t>/user2/cae_lib/180td_h150/eldo/LDMOS Low</t>
  </si>
  <si>
    <t>.alter cor1</t>
  </si>
  <si>
    <t>.alter cor2</t>
  </si>
  <si>
    <t>.alter cor3</t>
  </si>
  <si>
    <t>.alter cor4</t>
  </si>
  <si>
    <t>.alter cor5</t>
  </si>
  <si>
    <t>.alter cor6</t>
  </si>
  <si>
    <t>.alter cor7</t>
  </si>
  <si>
    <t>.alter cor8</t>
  </si>
  <si>
    <t>.alter cor9</t>
  </si>
  <si>
    <t>.alter cor10</t>
  </si>
  <si>
    <t>.alter cor11</t>
  </si>
  <si>
    <t>.alter cor12</t>
  </si>
  <si>
    <t>.alter cor13</t>
  </si>
  <si>
    <t>.alter cor14</t>
  </si>
  <si>
    <t>.alter cor15</t>
  </si>
  <si>
    <t>.alter cor16</t>
  </si>
  <si>
    <t>.alter cor17</t>
  </si>
  <si>
    <t>.alter cor18</t>
  </si>
  <si>
    <t>.alter cor19</t>
  </si>
  <si>
    <t>.alter cor20</t>
  </si>
  <si>
    <t>VCC=5.5</t>
  </si>
  <si>
    <t>VCC=4.5</t>
  </si>
  <si>
    <t>Ta=-40</t>
  </si>
  <si>
    <t>/user2/cae_lib/180td_h150/eldo/LDMOS High</t>
  </si>
  <si>
    <t>/user2/cae_lib/180td_h150/eldo/5V_MOS High</t>
  </si>
  <si>
    <t>Ta=150</t>
  </si>
  <si>
    <t>仕様</t>
  </si>
  <si>
    <t>検証結果</t>
  </si>
  <si>
    <t>判定</t>
  </si>
  <si>
    <t>たかじんのそこまで言って委員会_071104.mpg</t>
  </si>
  <si>
    <t>LIB_5V_MOS</t>
  </si>
  <si>
    <t>LIB_5V_MOS</t>
    <phoneticPr fontId="1"/>
  </si>
  <si>
    <t>LIB_LDMOS</t>
  </si>
  <si>
    <t>LIB_LDMOS</t>
    <phoneticPr fontId="1"/>
  </si>
  <si>
    <t>FF</t>
  </si>
  <si>
    <t>FF</t>
    <phoneticPr fontId="1"/>
  </si>
  <si>
    <t>FS</t>
  </si>
  <si>
    <t>FS</t>
    <phoneticPr fontId="1"/>
  </si>
  <si>
    <t>SF</t>
  </si>
  <si>
    <t>SF</t>
    <phoneticPr fontId="1"/>
  </si>
  <si>
    <t>SS</t>
  </si>
  <si>
    <t>SS</t>
    <phoneticPr fontId="1"/>
  </si>
  <si>
    <t>FAST</t>
  </si>
  <si>
    <t>FAST</t>
    <phoneticPr fontId="1"/>
  </si>
  <si>
    <t>SLOW</t>
  </si>
  <si>
    <t>SLOW</t>
    <phoneticPr fontId="1"/>
  </si>
  <si>
    <t>LIB_HVMOS</t>
  </si>
  <si>
    <t>LIB_HVMOS</t>
    <phoneticPr fontId="1"/>
  </si>
  <si>
    <t>LIB_5V_DPMOS</t>
  </si>
  <si>
    <t>LIB_5V_DPMOS</t>
    <phoneticPr fontId="1"/>
  </si>
  <si>
    <t>Paramater</t>
  </si>
  <si>
    <t>.alter1</t>
  </si>
  <si>
    <t>.alter2</t>
  </si>
  <si>
    <t>.alter3</t>
  </si>
  <si>
    <t>.alter4</t>
  </si>
  <si>
    <t>.alter5</t>
  </si>
  <si>
    <t>.alter6</t>
  </si>
  <si>
    <t>.alter7</t>
  </si>
  <si>
    <t>.alter8</t>
  </si>
  <si>
    <t>.alter2</t>
    <phoneticPr fontId="1"/>
  </si>
  <si>
    <t>num</t>
    <phoneticPr fontId="1"/>
  </si>
  <si>
    <t>.alter .alter1</t>
  </si>
  <si>
    <t>.alter .alter2</t>
  </si>
  <si>
    <t>/user2/cae_lib/180td_h150/eldo/LIB_5V_MOS FS</t>
  </si>
  <si>
    <t>/user2/cae_lib/180td_h150/eldo/LIB_5V_DPMOS FS</t>
  </si>
  <si>
    <t>.alter .alter3</t>
  </si>
  <si>
    <t>/user2/cae_lib/180td_h150/eldo/LIB_5V_MOS SF</t>
  </si>
  <si>
    <t>/user2/cae_lib/180td_h150/eldo/LIB_5V_DPMOS SF</t>
  </si>
  <si>
    <t>.alter .alter4</t>
  </si>
  <si>
    <t>/user2/cae_lib/180td_h150/eldo/LIB_5V_MOS SS</t>
  </si>
  <si>
    <t>/user2/cae_lib/180td_h150/eldo/LIB_5V_DPMOS SS</t>
  </si>
  <si>
    <t>.alter .alter5</t>
  </si>
  <si>
    <t>/user2/cae_lib/180td_h150/eldo/LIB_LDMOS SLOW</t>
  </si>
  <si>
    <t>/user2/cae_lib/180td_h150/eldo/LIB_HVMOS SLOW</t>
  </si>
  <si>
    <t>.alter .alter6</t>
  </si>
  <si>
    <t>.alter .alter7</t>
  </si>
  <si>
    <t>.alter .alter8</t>
  </si>
  <si>
    <t xml:space="preserve">.STEP Ta -40 150 </t>
  </si>
  <si>
    <t xml:space="preserve">.STEP VCC 4.5 5.5 </t>
  </si>
  <si>
    <t>たかじんのそこまで言って委員会_071104.mpg</t>
    <phoneticPr fontId="1"/>
  </si>
  <si>
    <t>BG</t>
    <phoneticPr fontId="1"/>
  </si>
  <si>
    <t>BG</t>
  </si>
  <si>
    <t xml:space="preserve">.STEP PARAMTa -40 150 </t>
  </si>
  <si>
    <t>BG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</si>
  <si>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</si>
  <si>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</si>
  <si>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</si>
  <si>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</si>
  <si>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FAST</t>
    <phoneticPr fontId="1"/>
  </si>
  <si>
    <t>SLOW</t>
    <phoneticPr fontId="1"/>
  </si>
  <si>
    <t>LIB_5V_DPMOS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</si>
  <si>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</si>
  <si>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</si>
  <si>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</si>
  <si>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</si>
  <si>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LIB_HVMOS</t>
    <phoneticPr fontId="1"/>
  </si>
  <si>
    <t>FAST</t>
    <phoneticPr fontId="1"/>
  </si>
  <si>
    <t>SLOW</t>
    <phoneticPr fontId="1"/>
  </si>
  <si>
    <t>num</t>
    <phoneticPr fontId="1"/>
  </si>
  <si>
    <t>BG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</si>
  <si>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</si>
  <si>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</si>
  <si>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</si>
  <si>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</si>
  <si>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FAST</t>
    <phoneticPr fontId="1"/>
  </si>
  <si>
    <t>SLOW</t>
    <phoneticPr fontId="1"/>
  </si>
  <si>
    <t>LIB_5V_DPMOS</t>
    <phoneticPr fontId="1"/>
  </si>
  <si>
    <t>LIB_HVMOS</t>
    <phoneticPr fontId="1"/>
  </si>
  <si>
    <t>num</t>
    <phoneticPr fontId="1"/>
  </si>
  <si>
    <t>.lib /user2/cae_lib/180td_h150/eldo/LIB_5V_MOS FS</t>
    <phoneticPr fontId="1"/>
  </si>
  <si>
    <t>.lib /user2/cae_lib/180td_h150/eldo/LIB_LDMOS SLOW</t>
    <phoneticPr fontId="1"/>
  </si>
  <si>
    <t>.temp 25</t>
    <phoneticPr fontId="1"/>
  </si>
  <si>
    <t>.Paramater VCC=5</t>
    <phoneticPr fontId="1"/>
  </si>
  <si>
    <t xml:space="preserve">LIB_5V_MOS </t>
  </si>
  <si>
    <t xml:space="preserve">LIB_LDMOS </t>
  </si>
  <si>
    <t xml:space="preserve">LIB_5V_DPMOS </t>
  </si>
  <si>
    <t xml:space="preserve">LIB_HVMOS </t>
  </si>
  <si>
    <t>temprature</t>
  </si>
  <si>
    <t>AVDD</t>
  </si>
  <si>
    <t>.Paramater AVDD=5</t>
    <phoneticPr fontId="1"/>
  </si>
  <si>
    <t>.Paramater BG=1.2</t>
    <phoneticPr fontId="1"/>
  </si>
  <si>
    <t>.lib /user2/cae_lib/180td_h150/eldo/LIB_5V_DPMOS FS</t>
    <phoneticPr fontId="1"/>
  </si>
  <si>
    <t>.lib /user2/cae_lib/180td_h150/eldo/LIB_HVMOS SLOW</t>
    <phoneticPr fontId="1"/>
  </si>
  <si>
    <t>.Paramater VCC=5.Paramater AVDD=5.Paramater BG=1.2.lib /user2/cae_lib/180td_h150/eldo/LIB_5V_MOS FS.lib /user2/cae_lib/180td_h150/eldo/LIB_5V_DPMOS FS.lib /user2/cae_lib/180td_h150/eldo/LIB_HVMOS SLOW.temp 25</t>
    <phoneticPr fontId="1"/>
  </si>
  <si>
    <t>LIB_HVMOS</t>
    <phoneticPr fontId="1"/>
  </si>
  <si>
    <t>LIB_LDMOS</t>
    <phoneticPr fontId="1"/>
  </si>
  <si>
    <t>corner1</t>
  </si>
  <si>
    <t>corner2</t>
  </si>
  <si>
    <t>corner3</t>
  </si>
  <si>
    <t>corner4</t>
  </si>
  <si>
    <t>corner5</t>
  </si>
  <si>
    <t>corner6</t>
  </si>
  <si>
    <t>corner7</t>
  </si>
  <si>
    <t>corner8</t>
  </si>
  <si>
    <t>corner9</t>
  </si>
  <si>
    <t>corner10</t>
  </si>
  <si>
    <t>corner11</t>
  </si>
  <si>
    <t>corner12</t>
  </si>
  <si>
    <t>corner13</t>
  </si>
  <si>
    <t>corner14</t>
  </si>
  <si>
    <t>corner15</t>
  </si>
  <si>
    <t>corner16</t>
  </si>
  <si>
    <t>TYP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</si>
  <si>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</si>
  <si>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</si>
  <si>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</si>
  <si>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</si>
  <si>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</si>
  <si>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</si>
  <si>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TEMP</t>
    <phoneticPr fontId="1"/>
  </si>
  <si>
    <t>TYP</t>
    <phoneticPr fontId="1"/>
  </si>
  <si>
    <t>typ</t>
    <phoneticPr fontId="1"/>
  </si>
  <si>
    <t>項目</t>
    <rPh sb="0" eb="2">
      <t>コウモク</t>
    </rPh>
    <phoneticPr fontId="1"/>
  </si>
  <si>
    <t>暗電流</t>
    <rPh sb="0" eb="1">
      <t>アン</t>
    </rPh>
    <rPh sb="1" eb="3">
      <t>デンリュウ</t>
    </rPh>
    <phoneticPr fontId="1"/>
  </si>
  <si>
    <t>出力電圧</t>
    <rPh sb="0" eb="2">
      <t>シュツリョク</t>
    </rPh>
    <rPh sb="2" eb="4">
      <t>デンアツ</t>
    </rPh>
    <phoneticPr fontId="1"/>
  </si>
  <si>
    <t>出力電流</t>
    <rPh sb="0" eb="2">
      <t>シュツリョク</t>
    </rPh>
    <rPh sb="2" eb="4">
      <t>デンリュウ</t>
    </rPh>
    <phoneticPr fontId="1"/>
  </si>
  <si>
    <t>トリム精度</t>
    <rPh sb="3" eb="5">
      <t>セイド</t>
    </rPh>
    <phoneticPr fontId="1"/>
  </si>
  <si>
    <t>温度変動</t>
    <rPh sb="0" eb="2">
      <t>オンド</t>
    </rPh>
    <rPh sb="2" eb="4">
      <t>ヘンドウ</t>
    </rPh>
    <phoneticPr fontId="1"/>
  </si>
  <si>
    <t>電源動作範囲</t>
    <rPh sb="0" eb="2">
      <t>デンゲン</t>
    </rPh>
    <rPh sb="2" eb="4">
      <t>ドウサ</t>
    </rPh>
    <rPh sb="4" eb="6">
      <t>ハンイ</t>
    </rPh>
    <phoneticPr fontId="1"/>
  </si>
  <si>
    <t>ラインレギュレーション</t>
    <phoneticPr fontId="1"/>
  </si>
  <si>
    <t>ロードレギュレーション</t>
    <phoneticPr fontId="1"/>
  </si>
  <si>
    <t>PSRR</t>
    <phoneticPr fontId="1"/>
  </si>
  <si>
    <t>位相余裕度</t>
    <rPh sb="0" eb="2">
      <t>イソウ</t>
    </rPh>
    <rPh sb="2" eb="4">
      <t>ヨユウ</t>
    </rPh>
    <rPh sb="4" eb="5">
      <t>ド</t>
    </rPh>
    <phoneticPr fontId="1"/>
  </si>
  <si>
    <t>OpenLoopGain</t>
    <phoneticPr fontId="1"/>
  </si>
  <si>
    <t>ユニティゲイン周波数</t>
    <rPh sb="7" eb="10">
      <t>シュウハスウ</t>
    </rPh>
    <phoneticPr fontId="1"/>
  </si>
  <si>
    <t>ゲイン余裕度</t>
    <rPh sb="3" eb="5">
      <t>ヨユウ</t>
    </rPh>
    <rPh sb="5" eb="6">
      <t>ド</t>
    </rPh>
    <phoneticPr fontId="1"/>
  </si>
  <si>
    <t>電源立上り時間</t>
    <rPh sb="0" eb="2">
      <t>デンゲン</t>
    </rPh>
    <rPh sb="2" eb="4">
      <t>タチアガ</t>
    </rPh>
    <rPh sb="5" eb="7">
      <t>ジカン</t>
    </rPh>
    <phoneticPr fontId="1"/>
  </si>
  <si>
    <t>電源立下り時間</t>
    <rPh sb="0" eb="2">
      <t>デンゲン</t>
    </rPh>
    <rPh sb="2" eb="4">
      <t>タチサガ</t>
    </rPh>
    <rPh sb="5" eb="7">
      <t>ジカン</t>
    </rPh>
    <phoneticPr fontId="1"/>
  </si>
  <si>
    <t>回路停止時間</t>
    <rPh sb="0" eb="2">
      <t>カイロ</t>
    </rPh>
    <rPh sb="2" eb="4">
      <t>テイシ</t>
    </rPh>
    <rPh sb="4" eb="6">
      <t>ジカン</t>
    </rPh>
    <phoneticPr fontId="1"/>
  </si>
  <si>
    <t>回路復帰時間</t>
    <rPh sb="0" eb="2">
      <t>カイロ</t>
    </rPh>
    <rPh sb="2" eb="4">
      <t>フッキ</t>
    </rPh>
    <rPh sb="4" eb="6">
      <t>ジカン</t>
    </rPh>
    <phoneticPr fontId="1"/>
  </si>
  <si>
    <t>入力動作範囲</t>
    <rPh sb="0" eb="2">
      <t>ニュウリョク</t>
    </rPh>
    <rPh sb="2" eb="4">
      <t>ドウサ</t>
    </rPh>
    <rPh sb="4" eb="6">
      <t>ハンイ</t>
    </rPh>
    <phoneticPr fontId="1"/>
  </si>
  <si>
    <t>出力動作範囲</t>
    <rPh sb="0" eb="2">
      <t>シュツリョク</t>
    </rPh>
    <rPh sb="2" eb="4">
      <t>ドウサ</t>
    </rPh>
    <rPh sb="4" eb="6">
      <t>ハンイ</t>
    </rPh>
    <phoneticPr fontId="1"/>
  </si>
  <si>
    <t>ノイズ</t>
    <phoneticPr fontId="1"/>
  </si>
  <si>
    <t>立上りスルーレート</t>
    <rPh sb="0" eb="2">
      <t>タチアガ</t>
    </rPh>
    <phoneticPr fontId="1"/>
  </si>
  <si>
    <t>立下りスルーレート</t>
    <rPh sb="0" eb="2">
      <t>タチサガ</t>
    </rPh>
    <phoneticPr fontId="1"/>
  </si>
  <si>
    <t>トリム分解能</t>
    <rPh sb="3" eb="6">
      <t>ブンカイノウ</t>
    </rPh>
    <phoneticPr fontId="1"/>
  </si>
  <si>
    <t>トリム範囲</t>
    <rPh sb="3" eb="5">
      <t>ハンイ</t>
    </rPh>
    <phoneticPr fontId="1"/>
  </si>
  <si>
    <t>電源</t>
    <rPh sb="0" eb="2">
      <t>デンゲン</t>
    </rPh>
    <phoneticPr fontId="1"/>
  </si>
  <si>
    <t>DCswp</t>
    <phoneticPr fontId="1"/>
  </si>
  <si>
    <t>負荷</t>
    <rPh sb="0" eb="2">
      <t>フカ</t>
    </rPh>
    <phoneticPr fontId="1"/>
  </si>
  <si>
    <t>入力</t>
    <rPh sb="0" eb="2">
      <t>ニュウリョク</t>
    </rPh>
    <phoneticPr fontId="1"/>
  </si>
  <si>
    <t>Tr</t>
    <phoneticPr fontId="1"/>
  </si>
  <si>
    <t>入力、電源、PD</t>
  </si>
  <si>
    <t>AC</t>
    <phoneticPr fontId="1"/>
  </si>
  <si>
    <t>〇</t>
    <phoneticPr fontId="1"/>
  </si>
  <si>
    <t>FB</t>
    <phoneticPr fontId="1"/>
  </si>
  <si>
    <t>モンテカルロ</t>
    <phoneticPr fontId="1"/>
  </si>
  <si>
    <t>モンテ</t>
    <phoneticPr fontId="1"/>
  </si>
  <si>
    <t>消費電流1‗VL</t>
    <rPh sb="0" eb="2">
      <t>ショウヒ</t>
    </rPh>
    <rPh sb="2" eb="4">
      <t>デンリュウ</t>
    </rPh>
    <phoneticPr fontId="1"/>
  </si>
  <si>
    <t>消費電流1‗VH</t>
    <rPh sb="0" eb="2">
      <t>ショウヒ</t>
    </rPh>
    <rPh sb="2" eb="4">
      <t>デンリュウ</t>
    </rPh>
    <phoneticPr fontId="1"/>
  </si>
  <si>
    <t>出力電圧1‗VL</t>
    <phoneticPr fontId="1"/>
  </si>
  <si>
    <t>出力電圧1‗VH</t>
    <phoneticPr fontId="1"/>
  </si>
  <si>
    <t>出力電流1‗VL</t>
  </si>
  <si>
    <t>出力電流1‗VH</t>
  </si>
  <si>
    <t>ﾗｲﾝﾚｷﾞｭﾚｰｼｮﾝ</t>
    <phoneticPr fontId="1"/>
  </si>
  <si>
    <t>消費電流1‗VT</t>
    <rPh sb="0" eb="2">
      <t>ショウヒ</t>
    </rPh>
    <rPh sb="2" eb="4">
      <t>デンリュウ</t>
    </rPh>
    <phoneticPr fontId="1"/>
  </si>
  <si>
    <t>消費電流1‗VＭＡＸ</t>
    <rPh sb="0" eb="2">
      <t>ショウヒ</t>
    </rPh>
    <rPh sb="2" eb="4">
      <t>デンリュウ</t>
    </rPh>
    <phoneticPr fontId="1"/>
  </si>
  <si>
    <t>消費電流1‗VＭＩＮ</t>
    <rPh sb="0" eb="2">
      <t>ショウヒ</t>
    </rPh>
    <rPh sb="2" eb="4">
      <t>デンリュウ</t>
    </rPh>
    <phoneticPr fontId="1"/>
  </si>
  <si>
    <t>出力電圧1‗VＭＩＮ</t>
    <phoneticPr fontId="1"/>
  </si>
  <si>
    <t>出力電圧1‗VＭＡＸ</t>
    <phoneticPr fontId="1"/>
  </si>
  <si>
    <t>出力電流1‗VＴ</t>
    <phoneticPr fontId="1"/>
  </si>
  <si>
    <t>出力電圧1‗VＴ</t>
    <phoneticPr fontId="1"/>
  </si>
  <si>
    <t>出力電流1‗VＭＩＮ</t>
    <phoneticPr fontId="1"/>
  </si>
  <si>
    <t>出力電流1‗ＶＭＡＸ</t>
    <phoneticPr fontId="1"/>
  </si>
  <si>
    <t>出力電流1‗DELTA</t>
    <phoneticPr fontId="1"/>
  </si>
  <si>
    <t>出力電圧1‗DELTA</t>
    <phoneticPr fontId="1"/>
  </si>
  <si>
    <t>消費電流1‗DELTA</t>
    <rPh sb="0" eb="2">
      <t>ショウヒ</t>
    </rPh>
    <rPh sb="2" eb="4">
      <t>デンリュウ</t>
    </rPh>
    <phoneticPr fontId="1"/>
  </si>
  <si>
    <t>yval(v(出力電圧1),電源ｔ)</t>
    <rPh sb="14" eb="16">
      <t>デンゲン</t>
    </rPh>
    <phoneticPr fontId="1"/>
  </si>
  <si>
    <t>yval(v(出力電圧1),電源l)</t>
    <rPh sb="14" eb="16">
      <t>デンゲン</t>
    </rPh>
    <phoneticPr fontId="1"/>
  </si>
  <si>
    <t>yval(v(出力電圧1),電源h)</t>
    <rPh sb="14" eb="16">
      <t>デンゲン</t>
    </rPh>
    <phoneticPr fontId="1"/>
  </si>
  <si>
    <t>MIN(v(出力電圧1),電源l,電源h)</t>
    <rPh sb="13" eb="15">
      <t>デンゲン</t>
    </rPh>
    <rPh sb="17" eb="19">
      <t>デンゲン</t>
    </rPh>
    <phoneticPr fontId="1"/>
  </si>
  <si>
    <t>MAX(v(出力電圧1),電源l,電源h)</t>
    <rPh sb="13" eb="15">
      <t>デンゲン</t>
    </rPh>
    <rPh sb="17" eb="19">
      <t>デンゲン</t>
    </rPh>
    <phoneticPr fontId="1"/>
  </si>
  <si>
    <t>MAX(v(出力電圧1),電源l,電源h)‐MIN(v(出力l),電源下限,電源h)</t>
    <rPh sb="13" eb="15">
      <t>デンゲン</t>
    </rPh>
    <rPh sb="17" eb="19">
      <t>デンゲン</t>
    </rPh>
    <phoneticPr fontId="1"/>
  </si>
  <si>
    <t>出力電流1-1%‗V</t>
    <phoneticPr fontId="1"/>
  </si>
  <si>
    <t>XTHRES(i(出力電流1),yval(i(出力電流1),電源h)*0.99)</t>
    <rPh sb="9" eb="11">
      <t>シュツリョク</t>
    </rPh>
    <rPh sb="11" eb="13">
      <t>デンリュウ</t>
    </rPh>
    <rPh sb="23" eb="25">
      <t>シュツリョク</t>
    </rPh>
    <rPh sb="25" eb="27">
      <t>デンリュウ</t>
    </rPh>
    <rPh sb="30" eb="32">
      <t>デンゲン</t>
    </rPh>
    <phoneticPr fontId="1"/>
  </si>
  <si>
    <t>yval(i(出力電流1),電源ｔ)</t>
    <rPh sb="14" eb="16">
      <t>デンゲン</t>
    </rPh>
    <phoneticPr fontId="1"/>
  </si>
  <si>
    <t>yval(i(出力電流1),電源l)</t>
    <rPh sb="14" eb="16">
      <t>デンゲン</t>
    </rPh>
    <phoneticPr fontId="1"/>
  </si>
  <si>
    <t>yval(i(出力電流1),電源h)</t>
    <rPh sb="14" eb="16">
      <t>デンゲン</t>
    </rPh>
    <phoneticPr fontId="1"/>
  </si>
  <si>
    <t>MIN(i(出力電流1),電源l,電源h)</t>
    <rPh sb="13" eb="15">
      <t>デンゲン</t>
    </rPh>
    <rPh sb="17" eb="19">
      <t>デンゲン</t>
    </rPh>
    <phoneticPr fontId="1"/>
  </si>
  <si>
    <t>MAX(i(出力電流1),電源l,電源h)</t>
    <rPh sb="13" eb="15">
      <t>デンゲン</t>
    </rPh>
    <rPh sb="17" eb="19">
      <t>デンゲン</t>
    </rPh>
    <phoneticPr fontId="1"/>
  </si>
  <si>
    <t>MAX(i(出力電流1),電源l,電源h)‐MIN(v(出力l),電源下限,電源h)</t>
    <rPh sb="13" eb="15">
      <t>デンゲン</t>
    </rPh>
    <rPh sb="17" eb="19">
      <t>デンゲン</t>
    </rPh>
    <phoneticPr fontId="1"/>
  </si>
  <si>
    <t>yval(i(消費電流1),電源ｔ)</t>
    <rPh sb="14" eb="16">
      <t>デンゲン</t>
    </rPh>
    <phoneticPr fontId="1"/>
  </si>
  <si>
    <t>yval(i(消費電流1),電源l)</t>
    <rPh sb="14" eb="16">
      <t>デンゲン</t>
    </rPh>
    <phoneticPr fontId="1"/>
  </si>
  <si>
    <t>yval(i(消費電流1),電源h)</t>
    <rPh sb="14" eb="16">
      <t>デンゲン</t>
    </rPh>
    <phoneticPr fontId="1"/>
  </si>
  <si>
    <t>MIN(i(消費電流1),電源l,電源h)</t>
    <rPh sb="13" eb="15">
      <t>デンゲン</t>
    </rPh>
    <rPh sb="17" eb="19">
      <t>デンゲン</t>
    </rPh>
    <phoneticPr fontId="1"/>
  </si>
  <si>
    <t>MAX(i(消費電流1),電源l,電源h)</t>
    <rPh sb="13" eb="15">
      <t>デンゲン</t>
    </rPh>
    <rPh sb="17" eb="19">
      <t>デンゲン</t>
    </rPh>
    <phoneticPr fontId="1"/>
  </si>
  <si>
    <t>MAX(i(消費電流1),電源l,電源h)‐MIN(v(出力l),電源下限,電源h)</t>
    <rPh sb="13" eb="15">
      <t>デンゲン</t>
    </rPh>
    <rPh sb="17" eb="19">
      <t>デンゲン</t>
    </rPh>
    <phoneticPr fontId="1"/>
  </si>
  <si>
    <t>XTHRES(v(出力電圧1),yval(v(出力電圧1),電源h)*0.99)</t>
    <rPh sb="30" eb="32">
      <t>デンゲン</t>
    </rPh>
    <phoneticPr fontId="1"/>
  </si>
  <si>
    <t>出力電圧1-1%‗V</t>
    <phoneticPr fontId="1"/>
  </si>
  <si>
    <t>XTHRES(i(消費電流1),yval(i(消費電流1),電源h)*0.99)</t>
    <rPh sb="30" eb="32">
      <t>デンゲン</t>
    </rPh>
    <phoneticPr fontId="1"/>
  </si>
  <si>
    <t>周波数1</t>
    <rPh sb="0" eb="3">
      <t>シュウハスウ</t>
    </rPh>
    <phoneticPr fontId="1"/>
  </si>
  <si>
    <t>周波数2</t>
    <rPh sb="0" eb="3">
      <t>シュウハスウ</t>
    </rPh>
    <phoneticPr fontId="1"/>
  </si>
  <si>
    <t>MAX</t>
    <phoneticPr fontId="1"/>
  </si>
  <si>
    <t>MAXf</t>
    <phoneticPr fontId="1"/>
  </si>
  <si>
    <t>電源</t>
    <rPh sb="0" eb="2">
      <t>デンゲン</t>
    </rPh>
    <phoneticPr fontId="1"/>
  </si>
  <si>
    <t>LOW</t>
    <phoneticPr fontId="1"/>
  </si>
  <si>
    <t>HIGH</t>
    <phoneticPr fontId="1"/>
  </si>
  <si>
    <t>出力電流</t>
    <rPh sb="0" eb="2">
      <t>シュツリョク</t>
    </rPh>
    <rPh sb="2" eb="4">
      <t>デンリュウ</t>
    </rPh>
    <phoneticPr fontId="1"/>
  </si>
  <si>
    <t>出力電圧</t>
    <rPh sb="0" eb="2">
      <t>シュツリョク</t>
    </rPh>
    <rPh sb="2" eb="4">
      <t>デンアツ</t>
    </rPh>
    <phoneticPr fontId="1"/>
  </si>
  <si>
    <t>消費電流</t>
    <rPh sb="0" eb="2">
      <t>ショウヒ</t>
    </rPh>
    <rPh sb="2" eb="4">
      <t>デンリュウ</t>
    </rPh>
    <phoneticPr fontId="1"/>
  </si>
  <si>
    <t>TYP</t>
    <phoneticPr fontId="1"/>
  </si>
  <si>
    <t>IDD</t>
    <phoneticPr fontId="1"/>
  </si>
  <si>
    <t>VBG</t>
    <phoneticPr fontId="1"/>
  </si>
  <si>
    <t>VBG_NPN</t>
    <phoneticPr fontId="1"/>
  </si>
  <si>
    <t>I(V1.1)</t>
    <phoneticPr fontId="1"/>
  </si>
  <si>
    <t>IDD_2V</t>
    <phoneticPr fontId="1"/>
  </si>
  <si>
    <t>IPOUT</t>
    <phoneticPr fontId="1"/>
  </si>
  <si>
    <t>I(R4.2)</t>
    <phoneticPr fontId="1"/>
  </si>
  <si>
    <t>ﾉｰﾄﾞ設定</t>
    <rPh sb="4" eb="6">
      <t>セッテイ</t>
    </rPh>
    <phoneticPr fontId="1"/>
  </si>
  <si>
    <t>ISUB(XI15.XI0.XI284.XI167.AVDD)+ISUB(XI15.XI0.XI284.XI167.XMVMP0.S)</t>
    <phoneticPr fontId="1"/>
  </si>
  <si>
    <t>IDD_BG</t>
    <phoneticPr fontId="1"/>
  </si>
  <si>
    <t>全公差</t>
    <rPh sb="0" eb="1">
      <t>ゼン</t>
    </rPh>
    <rPh sb="1" eb="3">
      <t>コウサ</t>
    </rPh>
    <phoneticPr fontId="1"/>
  </si>
  <si>
    <t>TYP</t>
    <phoneticPr fontId="1"/>
  </si>
  <si>
    <t>PD ON</t>
    <phoneticPr fontId="1"/>
  </si>
  <si>
    <t>公差条件</t>
    <rPh sb="0" eb="2">
      <t>コウサ</t>
    </rPh>
    <rPh sb="2" eb="4">
      <t>ジョウケン</t>
    </rPh>
    <phoneticPr fontId="1"/>
  </si>
  <si>
    <t>印可条件</t>
    <rPh sb="0" eb="2">
      <t>インカ</t>
    </rPh>
    <rPh sb="2" eb="4">
      <t>ジョウケン</t>
    </rPh>
    <phoneticPr fontId="1"/>
  </si>
  <si>
    <t>通常動作</t>
    <rPh sb="0" eb="2">
      <t>ツウジョウ</t>
    </rPh>
    <rPh sb="2" eb="4">
      <t>ドウサ</t>
    </rPh>
    <phoneticPr fontId="1"/>
  </si>
  <si>
    <t>ﾄﾘﾑ全条件</t>
    <rPh sb="3" eb="4">
      <t>ゼン</t>
    </rPh>
    <rPh sb="4" eb="6">
      <t>ジョウケン</t>
    </rPh>
    <phoneticPr fontId="1"/>
  </si>
  <si>
    <t>検証種類</t>
    <rPh sb="0" eb="2">
      <t>ケンショウ</t>
    </rPh>
    <rPh sb="2" eb="4">
      <t>シュルイ</t>
    </rPh>
    <phoneticPr fontId="1"/>
  </si>
  <si>
    <t>AC</t>
    <phoneticPr fontId="1"/>
  </si>
  <si>
    <t>回路</t>
    <rPh sb="0" eb="2">
      <t>カイロ</t>
    </rPh>
    <phoneticPr fontId="1"/>
  </si>
  <si>
    <t>通常回路</t>
    <rPh sb="0" eb="2">
      <t>ツウジョウ</t>
    </rPh>
    <rPh sb="2" eb="4">
      <t>カイロ</t>
    </rPh>
    <phoneticPr fontId="1"/>
  </si>
  <si>
    <t>AC入力</t>
    <rPh sb="2" eb="4">
      <t>ニュウリョク</t>
    </rPh>
    <phoneticPr fontId="1"/>
  </si>
  <si>
    <t>AC電源</t>
    <rPh sb="2" eb="4">
      <t>デンゲン</t>
    </rPh>
    <phoneticPr fontId="1"/>
  </si>
  <si>
    <t>ACFB</t>
    <phoneticPr fontId="1"/>
  </si>
  <si>
    <t>済</t>
    <rPh sb="0" eb="1">
      <t>スミ</t>
    </rPh>
    <phoneticPr fontId="1"/>
  </si>
  <si>
    <t>レ</t>
    <phoneticPr fontId="1"/>
  </si>
  <si>
    <t>入力電圧</t>
    <rPh sb="0" eb="2">
      <t>ニュウリョク</t>
    </rPh>
    <rPh sb="2" eb="4">
      <t>デンアツ</t>
    </rPh>
    <phoneticPr fontId="1"/>
  </si>
  <si>
    <t>周波数範囲</t>
    <rPh sb="0" eb="3">
      <t>シュウハスウ</t>
    </rPh>
    <rPh sb="3" eb="5">
      <t>ハンイ</t>
    </rPh>
    <phoneticPr fontId="1"/>
  </si>
  <si>
    <t>モニタ1</t>
    <phoneticPr fontId="1"/>
  </si>
  <si>
    <t>モニタ2</t>
    <phoneticPr fontId="1"/>
  </si>
  <si>
    <t>範囲上限</t>
    <rPh sb="0" eb="2">
      <t>ハンイ</t>
    </rPh>
    <rPh sb="2" eb="4">
      <t>ジョウゲン</t>
    </rPh>
    <phoneticPr fontId="1"/>
  </si>
  <si>
    <t>PSRR_BG</t>
    <phoneticPr fontId="1"/>
  </si>
  <si>
    <t>100kHz</t>
    <phoneticPr fontId="1"/>
  </si>
  <si>
    <t>1MHz</t>
    <phoneticPr fontId="1"/>
  </si>
  <si>
    <t>PSRR_V20</t>
    <phoneticPr fontId="1"/>
  </si>
  <si>
    <t>VBG20</t>
    <phoneticPr fontId="1"/>
  </si>
  <si>
    <t>PSRR_V40</t>
    <phoneticPr fontId="1"/>
  </si>
  <si>
    <t>V40</t>
    <phoneticPr fontId="1"/>
  </si>
  <si>
    <t>立上り時間‗vs入力</t>
    <rPh sb="0" eb="2">
      <t>タチアガ</t>
    </rPh>
    <rPh sb="3" eb="5">
      <t>ジカン</t>
    </rPh>
    <rPh sb="8" eb="10">
      <t>ニュウリョク</t>
    </rPh>
    <phoneticPr fontId="1"/>
  </si>
  <si>
    <t>立下り時間‗vs入力</t>
    <rPh sb="0" eb="2">
      <t>タチサガ</t>
    </rPh>
    <rPh sb="3" eb="5">
      <t>ジカン</t>
    </rPh>
    <rPh sb="8" eb="10">
      <t>ニュウリョク</t>
    </rPh>
    <phoneticPr fontId="1"/>
  </si>
  <si>
    <t>立上りスルーレート‗vs入力</t>
    <rPh sb="0" eb="2">
      <t>タチアガ</t>
    </rPh>
    <phoneticPr fontId="1"/>
  </si>
  <si>
    <t>立下りスルーレート‗vs入力</t>
    <rPh sb="0" eb="2">
      <t>タチサガ</t>
    </rPh>
    <phoneticPr fontId="1"/>
  </si>
  <si>
    <t>暗電流‗Tr</t>
    <rPh sb="0" eb="1">
      <t>アン</t>
    </rPh>
    <rPh sb="1" eb="3">
      <t>デンリュウ</t>
    </rPh>
    <phoneticPr fontId="1"/>
  </si>
  <si>
    <t>消費電流‗入力MID</t>
    <rPh sb="0" eb="2">
      <t>ショウヒ</t>
    </rPh>
    <rPh sb="2" eb="4">
      <t>デンリュウ</t>
    </rPh>
    <rPh sb="5" eb="7">
      <t>ニュウリョク</t>
    </rPh>
    <phoneticPr fontId="1"/>
  </si>
  <si>
    <t>出力電流‗入力MID</t>
    <rPh sb="0" eb="2">
      <t>シュツリョク</t>
    </rPh>
    <rPh sb="2" eb="4">
      <t>デンリュウ</t>
    </rPh>
    <rPh sb="5" eb="7">
      <t>ニュウリョク</t>
    </rPh>
    <phoneticPr fontId="1"/>
  </si>
  <si>
    <t>消費電流‗入力０</t>
    <rPh sb="0" eb="2">
      <t>ショウヒ</t>
    </rPh>
    <rPh sb="2" eb="4">
      <t>デンリュウ</t>
    </rPh>
    <rPh sb="5" eb="7">
      <t>ニュウリョク</t>
    </rPh>
    <phoneticPr fontId="1"/>
  </si>
  <si>
    <t>出力電流‗入力０</t>
    <rPh sb="0" eb="2">
      <t>シュツリョク</t>
    </rPh>
    <rPh sb="2" eb="4">
      <t>デンリュウ</t>
    </rPh>
    <rPh sb="5" eb="7">
      <t>ニュウリョク</t>
    </rPh>
    <phoneticPr fontId="1"/>
  </si>
  <si>
    <t>消費電流‗入力VDD</t>
    <rPh sb="0" eb="2">
      <t>ショウヒ</t>
    </rPh>
    <rPh sb="2" eb="4">
      <t>デンリュウ</t>
    </rPh>
    <rPh sb="5" eb="7">
      <t>ニュウリョク</t>
    </rPh>
    <phoneticPr fontId="1"/>
  </si>
  <si>
    <t>出力電流‗入力VDD</t>
    <rPh sb="0" eb="2">
      <t>シュツリョク</t>
    </rPh>
    <rPh sb="2" eb="4">
      <t>デンリュウ</t>
    </rPh>
    <rPh sb="5" eb="7">
      <t>ニュウリョク</t>
    </rPh>
    <phoneticPr fontId="1"/>
  </si>
  <si>
    <t>入力範囲‗下限</t>
    <rPh sb="0" eb="2">
      <t>ニュウリョク</t>
    </rPh>
    <rPh sb="2" eb="4">
      <t>ハンイ</t>
    </rPh>
    <rPh sb="5" eb="7">
      <t>カゲン</t>
    </rPh>
    <phoneticPr fontId="1"/>
  </si>
  <si>
    <t>入力範囲‗上限</t>
    <rPh sb="0" eb="2">
      <t>ニュウリョク</t>
    </rPh>
    <rPh sb="2" eb="4">
      <t>ハンイ</t>
    </rPh>
    <rPh sb="5" eb="7">
      <t>ジョウゲン</t>
    </rPh>
    <phoneticPr fontId="1"/>
  </si>
  <si>
    <t>出力範囲‗下限</t>
    <rPh sb="0" eb="2">
      <t>シュツリョク</t>
    </rPh>
    <rPh sb="2" eb="4">
      <t>ハンイ</t>
    </rPh>
    <rPh sb="5" eb="7">
      <t>カゲン</t>
    </rPh>
    <phoneticPr fontId="1"/>
  </si>
  <si>
    <t>出力範囲‗上限</t>
    <rPh sb="0" eb="2">
      <t>シュツリョク</t>
    </rPh>
    <rPh sb="2" eb="4">
      <t>ハンイ</t>
    </rPh>
    <rPh sb="5" eb="7">
      <t>ジョウゲン</t>
    </rPh>
    <phoneticPr fontId="1"/>
  </si>
  <si>
    <t>消費電流‗入力ON</t>
    <rPh sb="0" eb="2">
      <t>ショウヒ</t>
    </rPh>
    <rPh sb="2" eb="4">
      <t>デンリュウ</t>
    </rPh>
    <rPh sb="5" eb="7">
      <t>ニュウリョク</t>
    </rPh>
    <phoneticPr fontId="1"/>
  </si>
  <si>
    <t>出力電流‗入力ON</t>
    <rPh sb="0" eb="2">
      <t>シュツリョク</t>
    </rPh>
    <rPh sb="2" eb="4">
      <t>デンリュウ</t>
    </rPh>
    <rPh sb="5" eb="7">
      <t>ニュウリョク</t>
    </rPh>
    <phoneticPr fontId="1"/>
  </si>
  <si>
    <t>各時間</t>
    <rPh sb="0" eb="1">
      <t>カク</t>
    </rPh>
    <rPh sb="1" eb="3">
      <t>ジカン</t>
    </rPh>
    <phoneticPr fontId="1"/>
  </si>
  <si>
    <t>T_a</t>
    <phoneticPr fontId="1"/>
  </si>
  <si>
    <t>T_f</t>
    <phoneticPr fontId="1"/>
  </si>
  <si>
    <t>V40</t>
    <phoneticPr fontId="1"/>
  </si>
  <si>
    <t>Vdd</t>
    <phoneticPr fontId="1"/>
  </si>
  <si>
    <t>V(VBG_NPN)</t>
    <phoneticPr fontId="1"/>
  </si>
  <si>
    <t>V(V40)</t>
    <phoneticPr fontId="1"/>
  </si>
  <si>
    <t>Trise%</t>
    <phoneticPr fontId="1"/>
  </si>
  <si>
    <t>Tfall%</t>
    <phoneticPr fontId="1"/>
  </si>
  <si>
    <t>OFF遅延時間_vs入力</t>
    <rPh sb="3" eb="5">
      <t>チエン</t>
    </rPh>
    <rPh sb="5" eb="7">
      <t>ジカン</t>
    </rPh>
    <rPh sb="10" eb="12">
      <t>ニュウリョク</t>
    </rPh>
    <phoneticPr fontId="1"/>
  </si>
  <si>
    <t>ON遅延時間_vs電源</t>
    <rPh sb="2" eb="4">
      <t>チエン</t>
    </rPh>
    <rPh sb="4" eb="6">
      <t>ジカン</t>
    </rPh>
    <rPh sb="9" eb="11">
      <t>デンゲン</t>
    </rPh>
    <phoneticPr fontId="1"/>
  </si>
  <si>
    <t>OFF遅延時間_vs電源</t>
    <rPh sb="3" eb="5">
      <t>チエン</t>
    </rPh>
    <rPh sb="5" eb="7">
      <t>ジカン</t>
    </rPh>
    <phoneticPr fontId="1"/>
  </si>
  <si>
    <t>ON遅延時間_vsPD</t>
    <rPh sb="2" eb="4">
      <t>チエン</t>
    </rPh>
    <rPh sb="4" eb="6">
      <t>ジカン</t>
    </rPh>
    <phoneticPr fontId="1"/>
  </si>
  <si>
    <t>OFF遅延時間_vsPD</t>
    <rPh sb="3" eb="5">
      <t>チエン</t>
    </rPh>
    <rPh sb="5" eb="7">
      <t>ジカン</t>
    </rPh>
    <phoneticPr fontId="1"/>
  </si>
  <si>
    <t>PD</t>
    <phoneticPr fontId="1"/>
  </si>
  <si>
    <t>V(VIN)</t>
    <phoneticPr fontId="1"/>
  </si>
  <si>
    <t>V(VDD)</t>
    <phoneticPr fontId="1"/>
  </si>
  <si>
    <t>V(ICUT)</t>
    <phoneticPr fontId="1"/>
  </si>
  <si>
    <t>電源</t>
    <rPh sb="0" eb="2">
      <t>デンゲン</t>
    </rPh>
    <phoneticPr fontId="1"/>
  </si>
  <si>
    <t>入力</t>
    <rPh sb="0" eb="2">
      <t>ニュウリョク</t>
    </rPh>
    <phoneticPr fontId="1"/>
  </si>
  <si>
    <t>ON遅延時間_vs入力50%⇒90%</t>
    <rPh sb="2" eb="4">
      <t>チエン</t>
    </rPh>
    <rPh sb="4" eb="6">
      <t>ジカン</t>
    </rPh>
    <rPh sb="9" eb="11">
      <t>ニュウリョク</t>
    </rPh>
    <phoneticPr fontId="1"/>
  </si>
  <si>
    <t>ISUB(XI15.XI0.XI284.XI167.AVDD)</t>
    <phoneticPr fontId="1"/>
  </si>
  <si>
    <t>閾値</t>
    <rPh sb="0" eb="2">
      <t>シキイチ</t>
    </rPh>
    <phoneticPr fontId="1"/>
  </si>
  <si>
    <t>VBG</t>
    <phoneticPr fontId="1"/>
  </si>
  <si>
    <t>変化量</t>
    <rPh sb="0" eb="2">
      <t>ヘンカ</t>
    </rPh>
    <rPh sb="2" eb="3">
      <t>リョウ</t>
    </rPh>
    <phoneticPr fontId="1"/>
  </si>
  <si>
    <t>4m</t>
    <phoneticPr fontId="1"/>
  </si>
  <si>
    <t>40m</t>
    <phoneticPr fontId="1"/>
  </si>
  <si>
    <t>2m</t>
    <phoneticPr fontId="1"/>
  </si>
  <si>
    <t>5m</t>
    <phoneticPr fontId="1"/>
  </si>
  <si>
    <t>Tr</t>
    <phoneticPr fontId="1"/>
  </si>
  <si>
    <t>Vds-Vdsat</t>
    <phoneticPr fontId="1"/>
  </si>
  <si>
    <t>VBP1</t>
    <phoneticPr fontId="1"/>
  </si>
  <si>
    <t>VBP2</t>
    <phoneticPr fontId="1"/>
  </si>
  <si>
    <t>VBN1</t>
    <phoneticPr fontId="1"/>
  </si>
  <si>
    <t>VBN2</t>
    <phoneticPr fontId="1"/>
  </si>
  <si>
    <t>V(VBP1)</t>
    <phoneticPr fontId="1"/>
  </si>
  <si>
    <t>V(VBP2)</t>
  </si>
  <si>
    <t>V(VBN1)</t>
    <phoneticPr fontId="1"/>
  </si>
  <si>
    <t>V(VBN2)</t>
    <phoneticPr fontId="1"/>
  </si>
  <si>
    <t>Id1</t>
    <phoneticPr fontId="1"/>
  </si>
  <si>
    <t>Id2</t>
  </si>
  <si>
    <t>Id3</t>
  </si>
  <si>
    <t>Id4</t>
  </si>
  <si>
    <t>Id5</t>
  </si>
  <si>
    <t>I(R4.2)</t>
    <phoneticPr fontId="1"/>
  </si>
  <si>
    <t>ISUB(XI15.XI0.XI284.XI167.AVDD)+ISUB(XI15.XI0.XI284.XI167.XMVMP0.S)</t>
    <phoneticPr fontId="1"/>
  </si>
  <si>
    <t>ISUB(XI15.XI0.XI284.XI167.XMVMP0.S)</t>
  </si>
  <si>
    <t>ISUB(XI15.XI0.XI284.XI167.XMVMP1.S)</t>
  </si>
  <si>
    <t>ISUB(XI15.XI0.XI284.XI167.XMVMP2.S)</t>
  </si>
  <si>
    <t>ISUB(XI15.XI0.XI284.XI167.XMVMP3.S)</t>
  </si>
  <si>
    <t>MOS</t>
    <phoneticPr fontId="1"/>
  </si>
  <si>
    <t>MOS1</t>
    <phoneticPr fontId="1"/>
  </si>
  <si>
    <t>MOS2</t>
  </si>
  <si>
    <t>MOS3</t>
  </si>
  <si>
    <t>MOS4</t>
  </si>
  <si>
    <t>MOS5</t>
  </si>
  <si>
    <t>MOS6</t>
  </si>
  <si>
    <t>MOS7</t>
  </si>
  <si>
    <t>MOS8</t>
  </si>
  <si>
    <t>MOS9</t>
  </si>
  <si>
    <t>MOS10</t>
  </si>
  <si>
    <t>XI15.XI0.XI284.XI167.XMVMP3</t>
    <phoneticPr fontId="1"/>
  </si>
  <si>
    <t>XI15.XI0.XI284.XI167.XMVMP4</t>
  </si>
  <si>
    <t>XI15.XI0.XI284.XI167.XMVMP5</t>
  </si>
  <si>
    <t>XI15.XI0.XI284.XI167.XMVMP6</t>
  </si>
  <si>
    <t>XI15.XI0.XI284.XI167.XMVMP7</t>
  </si>
  <si>
    <t>XI15.XI0.XI284.XI167.XMVMP8</t>
  </si>
  <si>
    <t>XI15.XI0.XI284.XI167.XMVMP9</t>
  </si>
  <si>
    <t>XI15.XI0.XI284.XI167.XMVMP10</t>
  </si>
  <si>
    <t>XI15.XI0.XI284.XI167.XMVMP11</t>
  </si>
  <si>
    <t>XI15.XI0.XI284.XI167.XMVMP12</t>
  </si>
  <si>
    <t>T_m</t>
    <phoneticPr fontId="1"/>
  </si>
  <si>
    <t>value(VS(消費電流),電源ｔ)</t>
    <rPh sb="15" eb="17">
      <t>デンゲン</t>
    </rPh>
    <phoneticPr fontId="1"/>
  </si>
  <si>
    <t>yval(i(消費電流),電源h)</t>
    <rPh sb="13" eb="15">
      <t>デンゲン</t>
    </rPh>
    <phoneticPr fontId="1"/>
  </si>
  <si>
    <t>消費電流‗VＭＩＮ</t>
    <phoneticPr fontId="1"/>
  </si>
  <si>
    <t>消費電流‗VＭＡＸ</t>
    <phoneticPr fontId="1"/>
  </si>
  <si>
    <t>消費電流‗DELTA</t>
    <phoneticPr fontId="1"/>
  </si>
  <si>
    <t>XTHRES(i(消費電流),yval(i(消費電流),電源h)*0.99)</t>
    <rPh sb="28" eb="30">
      <t>デンゲン</t>
    </rPh>
    <phoneticPr fontId="1"/>
  </si>
  <si>
    <t>電源ｔ</t>
  </si>
  <si>
    <t>電源h</t>
    <phoneticPr fontId="1"/>
  </si>
  <si>
    <t>出力電圧‗VＴ</t>
  </si>
  <si>
    <t>yval(v(出力電圧),電源ｔ)</t>
    <rPh sb="13" eb="15">
      <t>デンゲン</t>
    </rPh>
    <phoneticPr fontId="1"/>
  </si>
  <si>
    <t>出力電圧‗VL</t>
  </si>
  <si>
    <t>yval(v(出力電圧),電源l)</t>
    <rPh sb="13" eb="15">
      <t>デンゲン</t>
    </rPh>
    <phoneticPr fontId="1"/>
  </si>
  <si>
    <t>出力電圧‗VH</t>
  </si>
  <si>
    <t>yval(v(出力電圧),電源h)</t>
    <rPh sb="13" eb="15">
      <t>デンゲン</t>
    </rPh>
    <phoneticPr fontId="1"/>
  </si>
  <si>
    <t>出力電圧‗VＭＩＮ</t>
  </si>
  <si>
    <t>MIN(v(出力電圧),電源l,電源h)</t>
    <rPh sb="12" eb="14">
      <t>デンゲン</t>
    </rPh>
    <rPh sb="16" eb="18">
      <t>デンゲン</t>
    </rPh>
    <phoneticPr fontId="1"/>
  </si>
  <si>
    <t>出力電圧‗VＭＡＸ</t>
  </si>
  <si>
    <t>MAX(v(出力電圧),電源l,電源h)</t>
    <rPh sb="12" eb="14">
      <t>デンゲン</t>
    </rPh>
    <rPh sb="16" eb="18">
      <t>デンゲン</t>
    </rPh>
    <phoneticPr fontId="1"/>
  </si>
  <si>
    <t>出力電圧‗DELTA</t>
  </si>
  <si>
    <t>MAX(v(出力電圧),電源l,電源h)‐MIN(v(出力l),電源下限,電源h)</t>
    <rPh sb="12" eb="14">
      <t>デンゲン</t>
    </rPh>
    <rPh sb="16" eb="18">
      <t>デンゲン</t>
    </rPh>
    <phoneticPr fontId="1"/>
  </si>
  <si>
    <t>出力電圧-1%‗V</t>
  </si>
  <si>
    <t>XTHRES(v(出力電圧),yval(v(出力電圧),電源h)*0.99)</t>
    <rPh sb="28" eb="30">
      <t>デンゲン</t>
    </rPh>
    <phoneticPr fontId="1"/>
  </si>
  <si>
    <t>出力電流‗VＴ</t>
  </si>
  <si>
    <t>yval(i(出力電流),電源ｔ)</t>
    <rPh sb="13" eb="15">
      <t>デンゲン</t>
    </rPh>
    <phoneticPr fontId="1"/>
  </si>
  <si>
    <t>出力電流‗VL</t>
  </si>
  <si>
    <t>yval(i(出力電流),電源l)</t>
    <rPh sb="13" eb="15">
      <t>デンゲン</t>
    </rPh>
    <phoneticPr fontId="1"/>
  </si>
  <si>
    <t>出力電流‗VH</t>
  </si>
  <si>
    <t>yval(i(出力電流),電源h)</t>
    <rPh sb="13" eb="15">
      <t>デンゲン</t>
    </rPh>
    <phoneticPr fontId="1"/>
  </si>
  <si>
    <t>出力電流‗VＭＩＮ</t>
  </si>
  <si>
    <t>MIN(i(出力電流),電源l,電源h)</t>
    <rPh sb="12" eb="14">
      <t>デンゲン</t>
    </rPh>
    <rPh sb="16" eb="18">
      <t>デンゲン</t>
    </rPh>
    <phoneticPr fontId="1"/>
  </si>
  <si>
    <t>出力電流‗ＶＭＡＸ</t>
  </si>
  <si>
    <t>MAX(i(出力電流),電源l,電源h)</t>
    <rPh sb="12" eb="14">
      <t>デンゲン</t>
    </rPh>
    <rPh sb="16" eb="18">
      <t>デンゲン</t>
    </rPh>
    <phoneticPr fontId="1"/>
  </si>
  <si>
    <t>出力電流‗DELTA</t>
  </si>
  <si>
    <t>MAX(i(出力電流),電源l,電源h)‐MIN(v(出力l),電源下限,電源h)</t>
    <rPh sb="12" eb="14">
      <t>デンゲン</t>
    </rPh>
    <rPh sb="16" eb="18">
      <t>デンゲン</t>
    </rPh>
    <phoneticPr fontId="1"/>
  </si>
  <si>
    <t>出力電流-1%‗V</t>
  </si>
  <si>
    <t>XTHRES(i(出力電流),yval(i(出力電流),電源h)*0.99)</t>
    <rPh sb="28" eb="30">
      <t>デンゲン</t>
    </rPh>
    <phoneticPr fontId="1"/>
  </si>
  <si>
    <t>電源l</t>
    <phoneticPr fontId="1"/>
  </si>
  <si>
    <t>yval(i(消費電流),電源l)</t>
    <phoneticPr fontId="1"/>
  </si>
  <si>
    <t>MIN(i(消費電流),電源l,電源h)</t>
    <rPh sb="16" eb="18">
      <t>デンゲン</t>
    </rPh>
    <phoneticPr fontId="1"/>
  </si>
  <si>
    <t>MAX(i(消費電流),電源l,電源h)</t>
    <rPh sb="16" eb="18">
      <t>デンゲン</t>
    </rPh>
    <phoneticPr fontId="1"/>
  </si>
  <si>
    <t>MAX(i(消費電流),電源l,電源h)‐MIN(i(消費電流),電源l,電源h)</t>
    <rPh sb="16" eb="18">
      <t>デンゲン</t>
    </rPh>
    <phoneticPr fontId="1"/>
  </si>
  <si>
    <t>消費電流‗VT</t>
    <phoneticPr fontId="1"/>
  </si>
  <si>
    <t>消費電流‗VL</t>
    <phoneticPr fontId="1"/>
  </si>
  <si>
    <t>消費電流‗VH</t>
    <phoneticPr fontId="1"/>
  </si>
  <si>
    <t>消費電流＿-1%_V</t>
    <phoneticPr fontId="1"/>
  </si>
  <si>
    <t>Pass/Fail</t>
    <phoneticPr fontId="1"/>
  </si>
  <si>
    <t>IDD</t>
    <phoneticPr fontId="1"/>
  </si>
  <si>
    <t>VOUT</t>
    <phoneticPr fontId="1"/>
  </si>
  <si>
    <t>Pass/Fail</t>
    <phoneticPr fontId="1"/>
  </si>
  <si>
    <t>TYP公差</t>
    <rPh sb="3" eb="5">
      <t>コウサ</t>
    </rPh>
    <phoneticPr fontId="1"/>
  </si>
  <si>
    <t>LIB_5V_MOS</t>
    <phoneticPr fontId="1"/>
  </si>
  <si>
    <t>*LIB_5V_MOSと共通</t>
    <rPh sb="12" eb="14">
      <t>キョウツウ</t>
    </rPh>
    <phoneticPr fontId="1"/>
  </si>
  <si>
    <t>LIB_HVMOS</t>
    <phoneticPr fontId="1"/>
  </si>
  <si>
    <t>*LIB_HVMOSのNchと共通</t>
    <rPh sb="15" eb="17">
      <t>キョウツウ</t>
    </rPh>
    <phoneticPr fontId="1"/>
  </si>
  <si>
    <t>PD</t>
  </si>
  <si>
    <t>PD</t>
    <phoneticPr fontId="1"/>
  </si>
  <si>
    <t>TRIM_1</t>
  </si>
  <si>
    <t>TRIM_0</t>
  </si>
  <si>
    <t>TRIM_0</t>
    <phoneticPr fontId="1"/>
  </si>
  <si>
    <t>TRIM_1</t>
    <phoneticPr fontId="1"/>
  </si>
  <si>
    <t>TRIM_2</t>
  </si>
  <si>
    <t>TRIM_3</t>
  </si>
  <si>
    <t>共通</t>
    <rPh sb="0" eb="2">
      <t>キョウツウ</t>
    </rPh>
    <phoneticPr fontId="1"/>
  </si>
  <si>
    <t>TYP</t>
    <phoneticPr fontId="1"/>
  </si>
  <si>
    <t>.lib /user2/cae_lib/180td_h150/eldo/LIB_5V_MOS TT</t>
    <phoneticPr fontId="1"/>
  </si>
  <si>
    <t>.lib /user2/cae_lib/180td_h150/eldo/LIB_LDMOS TYP</t>
    <phoneticPr fontId="1"/>
  </si>
  <si>
    <t>.lib /user2/cae_lib/180td_h150/eldo/LIB_5V_DPMOS TT</t>
    <phoneticPr fontId="1"/>
  </si>
  <si>
    <t>.lib /user2/cae_lib/180td_h150/eldo/LIB_HVMOS TT</t>
    <phoneticPr fontId="1"/>
  </si>
  <si>
    <t>.lib /user2/cae_lib/180td_h150/eldo/LIB_RES_RTN_2 TYP</t>
    <phoneticPr fontId="1"/>
  </si>
  <si>
    <t>.lib /user2/cae_lib/180td_h150/eldo/LIB_CAP_MIM5 TYP</t>
    <phoneticPr fontId="1"/>
  </si>
  <si>
    <t>TT</t>
  </si>
  <si>
    <t xml:space="preserve">LIB_RES_RTN_2 </t>
  </si>
  <si>
    <t>LOW</t>
  </si>
  <si>
    <t>HIGH</t>
  </si>
  <si>
    <t xml:space="preserve">LIB_CAP_MIM5 </t>
  </si>
  <si>
    <t>temp</t>
  </si>
  <si>
    <t>.Paramater CLOAD=1p</t>
    <phoneticPr fontId="1"/>
  </si>
  <si>
    <t>.Paramater TRIM1=VCC</t>
    <phoneticPr fontId="1"/>
  </si>
  <si>
    <t>CLOAD</t>
  </si>
  <si>
    <t>1p</t>
  </si>
  <si>
    <t>0.9p</t>
  </si>
  <si>
    <t>1.1p</t>
  </si>
  <si>
    <t>TRIM1</t>
  </si>
  <si>
    <t>cellsの前のws0.などのシート記載忘れ</t>
    <rPh sb="6" eb="7">
      <t>マエ</t>
    </rPh>
    <rPh sb="18" eb="20">
      <t>キサイ</t>
    </rPh>
    <rPh sb="20" eb="21">
      <t>ワス</t>
    </rPh>
    <phoneticPr fontId="1"/>
  </si>
  <si>
    <t>rangeをcellsで指定するとき、end(xldown).rowなどの記述で上の階層のcellsを記述し忘れ</t>
    <rPh sb="12" eb="14">
      <t>シテイ</t>
    </rPh>
    <rPh sb="37" eb="39">
      <t>キジュツ</t>
    </rPh>
    <rPh sb="40" eb="41">
      <t>ウエ</t>
    </rPh>
    <rPh sb="42" eb="44">
      <t>カイソウ</t>
    </rPh>
    <rPh sb="51" eb="53">
      <t>キジュツ</t>
    </rPh>
    <rPh sb="54" eb="55">
      <t>ワス</t>
    </rPh>
    <phoneticPr fontId="1"/>
  </si>
  <si>
    <t>V(V40)</t>
    <phoneticPr fontId="1"/>
  </si>
  <si>
    <t>I(V1.2)</t>
    <phoneticPr fontId="1"/>
  </si>
  <si>
    <t>I(R4.1)</t>
    <phoneticPr fontId="1"/>
  </si>
  <si>
    <t>I(R4.2)</t>
    <phoneticPr fontId="1"/>
  </si>
  <si>
    <t>ISUB(XI115.XI10.XI284.RVDD)</t>
    <phoneticPr fontId="1"/>
  </si>
  <si>
    <t>ISUB(XI115.XI10.XI284.XMVMP0.S)</t>
    <phoneticPr fontId="1"/>
  </si>
  <si>
    <t>ISUB(XI115.XI10.XI284.XMVMP0.D)</t>
    <phoneticPr fontId="1"/>
  </si>
  <si>
    <t>V(V20)</t>
    <phoneticPr fontId="1"/>
  </si>
  <si>
    <t>V20</t>
  </si>
  <si>
    <t>V40</t>
  </si>
  <si>
    <t>ID_V1</t>
  </si>
  <si>
    <t>ID_R4</t>
  </si>
  <si>
    <t>久しぶりのときは基本的な関数の使い方を再確認。　思い込みで間違えている</t>
    <rPh sb="0" eb="1">
      <t>ヒサ</t>
    </rPh>
    <rPh sb="8" eb="11">
      <t>キホンテキ</t>
    </rPh>
    <rPh sb="12" eb="14">
      <t>カンスウ</t>
    </rPh>
    <rPh sb="15" eb="16">
      <t>ツカ</t>
    </rPh>
    <rPh sb="17" eb="18">
      <t>カタ</t>
    </rPh>
    <rPh sb="19" eb="22">
      <t>サイカクニン</t>
    </rPh>
    <rPh sb="24" eb="25">
      <t>オモ</t>
    </rPh>
    <rPh sb="26" eb="27">
      <t>コ</t>
    </rPh>
    <rPh sb="29" eb="31">
      <t>マチガ</t>
    </rPh>
    <phoneticPr fontId="1"/>
  </si>
  <si>
    <t>ID_XMVMP0</t>
  </si>
  <si>
    <t>ID_RVDD</t>
  </si>
  <si>
    <t>XI115.XI10.XI284.XMVMP0</t>
  </si>
  <si>
    <t>評価</t>
    <rPh sb="0" eb="2">
      <t>ヒョウカ</t>
    </rPh>
    <phoneticPr fontId="1"/>
  </si>
  <si>
    <t>PDがHiになっていないか見る</t>
    <rPh sb="13" eb="14">
      <t>ミ</t>
    </rPh>
    <phoneticPr fontId="1"/>
  </si>
  <si>
    <t>V20を２Vにしてトリムスイープ</t>
    <phoneticPr fontId="1"/>
  </si>
  <si>
    <t>IREF_MSBがHiのときの､BG,2V、IREFの電圧、消費電流をみる。そうじゃないときの消費電流も</t>
    <rPh sb="27" eb="29">
      <t>デンアツ</t>
    </rPh>
    <rPh sb="30" eb="32">
      <t>ショウヒ</t>
    </rPh>
    <rPh sb="32" eb="34">
      <t>デンリュウ</t>
    </rPh>
    <rPh sb="47" eb="49">
      <t>ショウヒ</t>
    </rPh>
    <rPh sb="49" eb="51">
      <t>デンリュウ</t>
    </rPh>
    <phoneticPr fontId="1"/>
  </si>
  <si>
    <t>VCCを4.5～5.5Vにして、みる</t>
    <phoneticPr fontId="1"/>
  </si>
  <si>
    <t>やること</t>
    <phoneticPr fontId="1"/>
  </si>
  <si>
    <t>AEX_PERL</t>
    <phoneticPr fontId="1"/>
  </si>
  <si>
    <t>EXTRACTﾌｫｰﾏｯﾄへ返還素子抽出ﾏｸﾛ</t>
    <rPh sb="14" eb="16">
      <t>ヘンカン</t>
    </rPh>
    <rPh sb="16" eb="18">
      <t>ソシ</t>
    </rPh>
    <rPh sb="18" eb="20">
      <t>チュウシュツ</t>
    </rPh>
    <phoneticPr fontId="1"/>
  </si>
  <si>
    <t>コピーエクセル流用ﾌｫｰﾏｯﾄ作成ﾏｸﾛ</t>
    <rPh sb="7" eb="9">
      <t>リュウヨウ</t>
    </rPh>
    <rPh sb="15" eb="17">
      <t>サクセイ</t>
    </rPh>
    <phoneticPr fontId="1"/>
  </si>
  <si>
    <t>TYP公差リストﾏｸﾛ</t>
    <rPh sb="3" eb="5">
      <t>コウサ</t>
    </rPh>
    <phoneticPr fontId="1"/>
  </si>
  <si>
    <t>パラメータリストﾏｸﾛ</t>
    <phoneticPr fontId="1"/>
  </si>
  <si>
    <t>4項目まとめﾏｸﾛ</t>
    <rPh sb="1" eb="3">
      <t>コウモク</t>
    </rPh>
    <phoneticPr fontId="1"/>
  </si>
  <si>
    <t>5h</t>
    <phoneticPr fontId="1"/>
  </si>
  <si>
    <t>1h</t>
    <phoneticPr fontId="1"/>
  </si>
  <si>
    <t>3h</t>
    <phoneticPr fontId="1"/>
  </si>
  <si>
    <t>3h</t>
    <phoneticPr fontId="1"/>
  </si>
  <si>
    <t>10h</t>
    <phoneticPr fontId="1"/>
  </si>
  <si>
    <t>アセス</t>
    <phoneticPr fontId="1"/>
  </si>
  <si>
    <t>+</t>
    <phoneticPr fontId="1"/>
  </si>
  <si>
    <t>ISUB(XI5.XMVMRDP1.S) ISUB(XLMP1.S)</t>
    <phoneticPr fontId="1"/>
  </si>
  <si>
    <t>.probe V(V20) V(VBG) V(ISTP) I(V1.1) ISUB(XMMN0.S)</t>
    <phoneticPr fontId="1"/>
  </si>
  <si>
    <t>機能をコピーするときは、必要な機能を残らずコピーできているか</t>
    <rPh sb="0" eb="2">
      <t>キノウ</t>
    </rPh>
    <rPh sb="12" eb="14">
      <t>ヒツヨウ</t>
    </rPh>
    <rPh sb="15" eb="17">
      <t>キノウ</t>
    </rPh>
    <rPh sb="18" eb="19">
      <t>ノコ</t>
    </rPh>
    <phoneticPr fontId="1"/>
  </si>
  <si>
    <t>.plot I(R4.2) ISUB(XI2.VDD) ISUB(XI5.VDD) ISUB(VDD)</t>
    <phoneticPr fontId="1"/>
  </si>
  <si>
    <t>V20</t>
    <phoneticPr fontId="1"/>
  </si>
  <si>
    <t>V(VBG)</t>
    <phoneticPr fontId="1"/>
  </si>
  <si>
    <t>VBG</t>
    <phoneticPr fontId="1"/>
  </si>
  <si>
    <t>V(ISTP)</t>
    <phoneticPr fontId="1"/>
  </si>
  <si>
    <t>V_ISTP</t>
    <phoneticPr fontId="1"/>
  </si>
  <si>
    <t>I(V1.1)</t>
    <phoneticPr fontId="1"/>
  </si>
  <si>
    <t>ID_V1</t>
    <phoneticPr fontId="1"/>
  </si>
  <si>
    <t>ISUB(XMMN0.S)</t>
    <phoneticPr fontId="1"/>
  </si>
  <si>
    <t>ID_MMN0</t>
    <phoneticPr fontId="1"/>
  </si>
  <si>
    <t>ISUB(XI5.XMVMRDP1.S)</t>
    <phoneticPr fontId="1"/>
  </si>
  <si>
    <t>XI5.XMVMRDP1</t>
    <phoneticPr fontId="1"/>
  </si>
  <si>
    <t>ID_MVMRDP1</t>
    <phoneticPr fontId="1"/>
  </si>
  <si>
    <t>ISUB(XLMP1.S)</t>
    <phoneticPr fontId="1"/>
  </si>
  <si>
    <t>ID_LMP1</t>
    <phoneticPr fontId="1"/>
  </si>
  <si>
    <t>I(R4.2)</t>
    <phoneticPr fontId="1"/>
  </si>
  <si>
    <t>ID_R4</t>
    <phoneticPr fontId="1"/>
  </si>
  <si>
    <t>ISUB(XI2.VDD)</t>
    <phoneticPr fontId="1"/>
  </si>
  <si>
    <t>ID_VDD</t>
    <phoneticPr fontId="1"/>
  </si>
  <si>
    <t>ISUB(XI5.VDD)</t>
    <phoneticPr fontId="1"/>
  </si>
  <si>
    <t>ISUB(VDD)</t>
    <phoneticPr fontId="1"/>
  </si>
  <si>
    <t>TNO</t>
  </si>
  <si>
    <t>VOUT</t>
  </si>
  <si>
    <t>_</t>
  </si>
  <si>
    <t>VOUT_MIN</t>
  </si>
  <si>
    <t>VOUT_MAX</t>
  </si>
  <si>
    <t>VCC4.5V,Ta-40℃</t>
    <phoneticPr fontId="1"/>
  </si>
  <si>
    <t>VCC5.5V,Ta-40℃</t>
    <phoneticPr fontId="1"/>
  </si>
  <si>
    <t>VCC5.5V,Ta150℃</t>
    <phoneticPr fontId="1"/>
  </si>
  <si>
    <t>MODE</t>
  </si>
  <si>
    <t>MODE</t>
    <phoneticPr fontId="1"/>
  </si>
  <si>
    <t>TYP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</si>
  <si>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</si>
  <si>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</si>
  <si>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</si>
  <si>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</si>
  <si>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</si>
  <si>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</si>
  <si>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typ</t>
    <phoneticPr fontId="1"/>
  </si>
  <si>
    <t>表修正＿単位の位置など</t>
    <rPh sb="0" eb="1">
      <t>ヒョウ</t>
    </rPh>
    <rPh sb="1" eb="3">
      <t>シュウセイ</t>
    </rPh>
    <rPh sb="4" eb="6">
      <t>タンイ</t>
    </rPh>
    <rPh sb="7" eb="9">
      <t>イチ</t>
    </rPh>
    <phoneticPr fontId="1"/>
  </si>
  <si>
    <t>まとめﾌｫｰﾏｯﾄ追加</t>
    <rPh sb="9" eb="11">
      <t>ツイカ</t>
    </rPh>
    <phoneticPr fontId="1"/>
  </si>
  <si>
    <t>ワースト条件並べ替え</t>
    <rPh sb="4" eb="6">
      <t>ジョウケン</t>
    </rPh>
    <rPh sb="6" eb="7">
      <t>ナラ</t>
    </rPh>
    <rPh sb="8" eb="9">
      <t>カ</t>
    </rPh>
    <phoneticPr fontId="1"/>
  </si>
  <si>
    <t>ワーストシート追加</t>
    <rPh sb="7" eb="9">
      <t>ツイカ</t>
    </rPh>
    <phoneticPr fontId="1"/>
  </si>
  <si>
    <t>TNO列追加</t>
    <rPh sb="3" eb="4">
      <t>レツ</t>
    </rPh>
    <rPh sb="4" eb="6">
      <t>ツイカ</t>
    </rPh>
    <phoneticPr fontId="1"/>
  </si>
  <si>
    <t>モードコメント修正</t>
    <rPh sb="7" eb="9">
      <t>シュウセイ</t>
    </rPh>
    <phoneticPr fontId="1"/>
  </si>
  <si>
    <t>プログラム内容確認、修正</t>
    <rPh sb="5" eb="7">
      <t>ナイヨウ</t>
    </rPh>
    <rPh sb="7" eb="9">
      <t>カクニン</t>
    </rPh>
    <rPh sb="10" eb="12">
      <t>シュウセイ</t>
    </rPh>
    <phoneticPr fontId="1"/>
  </si>
  <si>
    <t>VCC:4.5 Ta:-40</t>
  </si>
  <si>
    <t>VCC:5.5 Ta:-40</t>
  </si>
  <si>
    <t>VCC:5.5 Ta:150</t>
  </si>
  <si>
    <t>TOTAL</t>
  </si>
  <si>
    <t>VCC:4.5 Ta:-40</t>
    <phoneticPr fontId="1"/>
  </si>
  <si>
    <t>VCC:5.5 Ta:-40</t>
    <phoneticPr fontId="1"/>
  </si>
  <si>
    <t>VCC:5.5 Ta:150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</si>
  <si>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</si>
  <si>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</si>
  <si>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</si>
  <si>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</si>
  <si>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</si>
  <si>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</si>
  <si>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typ</t>
    <phoneticPr fontId="1"/>
  </si>
  <si>
    <t>.lib /user2/cae_lib/180td_h150/eldo/LIB_5V_CMOS TT</t>
    <phoneticPr fontId="1"/>
  </si>
  <si>
    <t xml:space="preserve">LIB_5V_CMOS </t>
  </si>
  <si>
    <t>.lib /user2/cae_lib/180td_h150/eldo/LIB_CAP_CMP35 TYP</t>
    <phoneticPr fontId="1"/>
  </si>
  <si>
    <t>.lib /user2/cae_lib/180td_h150/eldo/LIB_RES_RTNPA_2 TYP</t>
    <phoneticPr fontId="1"/>
  </si>
  <si>
    <t>.lib /user2/cae_lib/180td_h150/eldo/LIB_5V_MVDNA TYP</t>
    <phoneticPr fontId="1"/>
  </si>
  <si>
    <t>.lib /user2/cae_lib/180td_h150/eldo/LIB_ALL_TYP OFF</t>
    <phoneticPr fontId="1"/>
  </si>
  <si>
    <t>.lib /user2/cae_lib/180td_h150/eldo/LIB_RES_RPNS_2 TYP</t>
    <phoneticPr fontId="1"/>
  </si>
  <si>
    <t xml:space="preserve">LIB_RES_RTNPA_2 </t>
  </si>
  <si>
    <t xml:space="preserve">LIB_RES_RPNS_2 </t>
  </si>
  <si>
    <t xml:space="preserve">LIB_CAP_CMP35 </t>
  </si>
  <si>
    <t xml:space="preserve">LIB_5V_MVDNA </t>
  </si>
  <si>
    <t xml:space="preserve">LIB_ALL_TYP </t>
  </si>
  <si>
    <t>OFF</t>
  </si>
  <si>
    <t>ページ番号</t>
    <rPh sb="3" eb="5">
      <t>バンゴウ</t>
    </rPh>
    <phoneticPr fontId="1"/>
  </si>
  <si>
    <t>項番</t>
    <rPh sb="0" eb="2">
      <t>コウバン</t>
    </rPh>
    <phoneticPr fontId="1"/>
  </si>
  <si>
    <t>枝番</t>
    <rPh sb="0" eb="2">
      <t>エダバン</t>
    </rPh>
    <phoneticPr fontId="1"/>
  </si>
  <si>
    <t>定義上の項目名称</t>
    <rPh sb="0" eb="2">
      <t>テイギ</t>
    </rPh>
    <rPh sb="2" eb="3">
      <t>ジョウ</t>
    </rPh>
    <rPh sb="4" eb="6">
      <t>コウモク</t>
    </rPh>
    <rPh sb="6" eb="8">
      <t>メイショウ</t>
    </rPh>
    <phoneticPr fontId="1"/>
  </si>
  <si>
    <t>NO</t>
    <phoneticPr fontId="1"/>
  </si>
  <si>
    <t>正解ﾃﾞｰﾀ</t>
    <rPh sb="0" eb="2">
      <t>セイカイ</t>
    </rPh>
    <phoneticPr fontId="1"/>
  </si>
  <si>
    <t>サンプル番号</t>
    <rPh sb="4" eb="6">
      <t>バンゴウ</t>
    </rPh>
    <phoneticPr fontId="1"/>
  </si>
  <si>
    <t>項目名</t>
    <rPh sb="0" eb="2">
      <t>コウモク</t>
    </rPh>
    <rPh sb="2" eb="3">
      <t>メイ</t>
    </rPh>
    <phoneticPr fontId="1"/>
  </si>
  <si>
    <t>値</t>
    <rPh sb="0" eb="1">
      <t>アタイ</t>
    </rPh>
    <phoneticPr fontId="1"/>
  </si>
  <si>
    <t>01</t>
    <phoneticPr fontId="1"/>
  </si>
  <si>
    <t>（１）content.pdf</t>
    <phoneticPr fontId="1"/>
  </si>
  <si>
    <t>01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</si>
  <si>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</si>
  <si>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</si>
  <si>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</si>
  <si>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</si>
  <si>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</si>
  <si>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</si>
  <si>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</si>
  <si>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</si>
  <si>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</si>
  <si>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</si>
  <si>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</si>
  <si>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</si>
  <si>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</si>
  <si>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</si>
  <si>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</si>
  <si>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</si>
  <si>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01_001_01__(5)_</t>
  </si>
  <si>
    <t>01_001_01__(6)_</t>
  </si>
  <si>
    <t>01_001_01__(7)_</t>
  </si>
  <si>
    <t>01_001_01__(8)_</t>
  </si>
  <si>
    <t>01_001_01__(9)_</t>
  </si>
  <si>
    <t>01_001_01__(10)_</t>
  </si>
  <si>
    <t>01_001_01__(11)_</t>
  </si>
  <si>
    <t>01_001_01__(12)_</t>
  </si>
  <si>
    <t>01_001_01__(13)_</t>
  </si>
  <si>
    <t>01_001_01__(14)_</t>
  </si>
  <si>
    <t>01_001_01__(15)_</t>
  </si>
  <si>
    <t>01_001_01__(16)_</t>
  </si>
  <si>
    <t>01_001_01__(1)_住所_郵便番号</t>
    <rPh sb="15" eb="17">
      <t>ジュウショ</t>
    </rPh>
    <rPh sb="18" eb="22">
      <t>ユウビンバンゴウ</t>
    </rPh>
    <phoneticPr fontId="1"/>
  </si>
  <si>
    <t>01_002_01__(2)_住所_住所</t>
    <rPh sb="15" eb="17">
      <t>ジュウショ</t>
    </rPh>
    <rPh sb="18" eb="20">
      <t>ジュウショ</t>
    </rPh>
    <phoneticPr fontId="1"/>
  </si>
  <si>
    <t>01_001_01__(3)_電話番号</t>
    <rPh sb="15" eb="17">
      <t>デンワ</t>
    </rPh>
    <rPh sb="17" eb="19">
      <t>バンゴウ</t>
    </rPh>
    <phoneticPr fontId="1"/>
  </si>
  <si>
    <t>01_001_01__(4)_ﾌﾘｶﾞﾅ</t>
    <phoneticPr fontId="1"/>
  </si>
  <si>
    <t>1</t>
    <phoneticPr fontId="1"/>
  </si>
  <si>
    <t>2</t>
    <phoneticPr fontId="1"/>
  </si>
  <si>
    <t>3</t>
    <phoneticPr fontId="1"/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</si>
  <si>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</si>
  <si>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</si>
  <si>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</si>
  <si>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</si>
  <si>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</si>
  <si>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</si>
  <si>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</si>
  <si>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</si>
  <si>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</si>
  <si>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</si>
  <si>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</si>
  <si>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</si>
  <si>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</si>
  <si>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住所_郵便番号</t>
    <rPh sb="0" eb="2">
      <t>ジュウショ</t>
    </rPh>
    <rPh sb="3" eb="7">
      <t>ユウビンバンゴウ</t>
    </rPh>
    <phoneticPr fontId="1"/>
  </si>
  <si>
    <t>住所_住所</t>
    <rPh sb="0" eb="2">
      <t>ジュウショ</t>
    </rPh>
    <rPh sb="3" eb="5">
      <t>ジュウショ</t>
    </rPh>
    <phoneticPr fontId="1"/>
  </si>
  <si>
    <t>電話番号</t>
    <rPh sb="0" eb="4">
      <t>デンワバンゴウ</t>
    </rPh>
    <phoneticPr fontId="1"/>
  </si>
  <si>
    <t>ﾌﾘｶﾞﾅ</t>
    <phoneticPr fontId="1"/>
  </si>
  <si>
    <t>氏名</t>
    <rPh sb="0" eb="2">
      <t>シメイ</t>
    </rPh>
    <phoneticPr fontId="1"/>
  </si>
  <si>
    <t>整理番号</t>
    <rPh sb="0" eb="2">
      <t>セイリ</t>
    </rPh>
    <rPh sb="2" eb="4">
      <t>バンゴウ</t>
    </rPh>
    <phoneticPr fontId="1"/>
  </si>
  <si>
    <t>共有者の氏名_ﾌﾘｶﾞﾅ</t>
    <rPh sb="0" eb="2">
      <t>キョウユウ</t>
    </rPh>
    <rPh sb="2" eb="3">
      <t>シャ</t>
    </rPh>
    <rPh sb="4" eb="6">
      <t>シメイ</t>
    </rPh>
    <phoneticPr fontId="1"/>
  </si>
  <si>
    <t>共有者の氏名_氏名</t>
    <rPh sb="0" eb="2">
      <t>キョウユウ</t>
    </rPh>
    <rPh sb="2" eb="3">
      <t>シャ</t>
    </rPh>
    <rPh sb="4" eb="6">
      <t>シメイ</t>
    </rPh>
    <rPh sb="7" eb="9">
      <t>シメイ</t>
    </rPh>
    <phoneticPr fontId="1"/>
  </si>
  <si>
    <t>174-0055</t>
    <phoneticPr fontId="1"/>
  </si>
  <si>
    <t>東京都板橋区泉町8</t>
    <rPh sb="0" eb="3">
      <t>トウキョウト</t>
    </rPh>
    <rPh sb="3" eb="6">
      <t>イタバシク</t>
    </rPh>
    <rPh sb="6" eb="7">
      <t>イズミ</t>
    </rPh>
    <rPh sb="7" eb="8">
      <t>マチ</t>
    </rPh>
    <phoneticPr fontId="1"/>
  </si>
  <si>
    <t>ｵｶﾉｺｸ</t>
    <phoneticPr fontId="1"/>
  </si>
  <si>
    <t>岡野　国</t>
    <rPh sb="0" eb="2">
      <t>オカノ</t>
    </rPh>
    <rPh sb="3" eb="4">
      <t>クニ</t>
    </rPh>
    <phoneticPr fontId="1"/>
  </si>
  <si>
    <t>ｵｶﾉﾁｮｳ</t>
    <phoneticPr fontId="1"/>
  </si>
  <si>
    <t>ｵｶﾉｾﾞｲ</t>
    <phoneticPr fontId="1"/>
  </si>
  <si>
    <t>02</t>
    <phoneticPr fontId="1"/>
  </si>
  <si>
    <t>（2）content.pdf</t>
    <phoneticPr fontId="1"/>
  </si>
  <si>
    <t>東京都板橋区泉町2</t>
    <rPh sb="0" eb="3">
      <t>トウキョウト</t>
    </rPh>
    <rPh sb="3" eb="6">
      <t>イタバシク</t>
    </rPh>
    <rPh sb="6" eb="7">
      <t>イズミ</t>
    </rPh>
    <rPh sb="7" eb="8">
      <t>マチ</t>
    </rPh>
    <phoneticPr fontId="1"/>
  </si>
  <si>
    <t>ｲﾏｲﾐﾂﾙ</t>
    <phoneticPr fontId="1"/>
  </si>
  <si>
    <t>今井満</t>
    <rPh sb="0" eb="2">
      <t>イマイ</t>
    </rPh>
    <rPh sb="2" eb="3">
      <t>ミツル</t>
    </rPh>
    <phoneticPr fontId="1"/>
  </si>
  <si>
    <t>456-0047</t>
    <phoneticPr fontId="1"/>
  </si>
  <si>
    <t>愛知県名古屋市名東区小池町1</t>
    <rPh sb="0" eb="7">
      <t>アイチケンナゴヤシ</t>
    </rPh>
    <rPh sb="7" eb="10">
      <t>メイトウク</t>
    </rPh>
    <rPh sb="10" eb="12">
      <t>コイケ</t>
    </rPh>
    <rPh sb="12" eb="13">
      <t>マチ</t>
    </rPh>
    <phoneticPr fontId="1"/>
  </si>
  <si>
    <t>052 956 1589</t>
    <phoneticPr fontId="1"/>
  </si>
  <si>
    <t>ﾀﾅｶﾋﾛｼ</t>
    <phoneticPr fontId="1"/>
  </si>
  <si>
    <t>田中博</t>
    <rPh sb="0" eb="2">
      <t>タナカ</t>
    </rPh>
    <rPh sb="2" eb="3">
      <t>ヒロシ</t>
    </rPh>
    <phoneticPr fontId="1"/>
  </si>
  <si>
    <t>03</t>
    <phoneticPr fontId="1"/>
  </si>
  <si>
    <t>（3）content.pdf</t>
    <phoneticPr fontId="1"/>
  </si>
  <si>
    <t>a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</si>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</sst>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6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2" fillId="0" borderId="0" xfId="1"/>
    <xf numFmtId="11" fontId="0" fillId="0" borderId="0" xfId="0" applyNumberForma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Fill="1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0" xfId="0" applyBorder="1"/>
    <xf numFmtId="0" fontId="3" fillId="0" borderId="0" xfId="0" applyFont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CC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887530758737094"/>
          <c:y val="3.96039603960396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627716036448889E-2"/>
          <c:y val="0.21039603960396039"/>
          <c:w val="0.75649490566880251"/>
          <c:h val="0.62623762376237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Sheet1!$D$9</c:f>
              <c:strCache>
                <c:ptCount val="1"/>
                <c:pt idx="0">
                  <c:v>クロック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Sheet1!$C$10:$C$94</c:f>
              <c:numCache>
                <c:formatCode>General</c:formatCode>
                <c:ptCount val="8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9.99</c:v>
                </c:pt>
                <c:pt idx="5">
                  <c:v>10</c:v>
                </c:pt>
                <c:pt idx="6">
                  <c:v>10.99</c:v>
                </c:pt>
                <c:pt idx="7">
                  <c:v>10.997999999999999</c:v>
                </c:pt>
                <c:pt idx="8">
                  <c:v>10.999000000000001</c:v>
                </c:pt>
                <c:pt idx="9">
                  <c:v>11</c:v>
                </c:pt>
                <c:pt idx="10">
                  <c:v>11</c:v>
                </c:pt>
                <c:pt idx="11">
                  <c:v>11.01</c:v>
                </c:pt>
                <c:pt idx="12">
                  <c:v>11.02</c:v>
                </c:pt>
                <c:pt idx="13">
                  <c:v>12</c:v>
                </c:pt>
                <c:pt idx="14">
                  <c:v>11.99</c:v>
                </c:pt>
                <c:pt idx="15">
                  <c:v>11.994999999999999</c:v>
                </c:pt>
                <c:pt idx="16">
                  <c:v>12</c:v>
                </c:pt>
                <c:pt idx="17">
                  <c:v>13</c:v>
                </c:pt>
                <c:pt idx="18">
                  <c:v>13.01</c:v>
                </c:pt>
                <c:pt idx="19">
                  <c:v>13.02</c:v>
                </c:pt>
                <c:pt idx="20">
                  <c:v>14</c:v>
                </c:pt>
                <c:pt idx="21">
                  <c:v>13.99</c:v>
                </c:pt>
                <c:pt idx="22">
                  <c:v>13.994999999999999</c:v>
                </c:pt>
                <c:pt idx="23">
                  <c:v>14</c:v>
                </c:pt>
                <c:pt idx="24">
                  <c:v>15</c:v>
                </c:pt>
                <c:pt idx="25">
                  <c:v>15.01</c:v>
                </c:pt>
                <c:pt idx="26">
                  <c:v>15.02</c:v>
                </c:pt>
                <c:pt idx="27">
                  <c:v>16</c:v>
                </c:pt>
                <c:pt idx="28">
                  <c:v>15.99</c:v>
                </c:pt>
                <c:pt idx="29">
                  <c:v>15.994999999999999</c:v>
                </c:pt>
                <c:pt idx="30">
                  <c:v>16</c:v>
                </c:pt>
                <c:pt idx="31">
                  <c:v>17</c:v>
                </c:pt>
                <c:pt idx="32">
                  <c:v>17.009999999999998</c:v>
                </c:pt>
                <c:pt idx="33">
                  <c:v>17.02</c:v>
                </c:pt>
                <c:pt idx="34">
                  <c:v>18</c:v>
                </c:pt>
                <c:pt idx="35">
                  <c:v>17.990000000000002</c:v>
                </c:pt>
                <c:pt idx="36">
                  <c:v>17.994999999999997</c:v>
                </c:pt>
                <c:pt idx="37">
                  <c:v>18</c:v>
                </c:pt>
                <c:pt idx="38">
                  <c:v>19</c:v>
                </c:pt>
                <c:pt idx="39">
                  <c:v>19.009999999999998</c:v>
                </c:pt>
                <c:pt idx="40">
                  <c:v>19.02</c:v>
                </c:pt>
                <c:pt idx="41">
                  <c:v>20</c:v>
                </c:pt>
                <c:pt idx="42">
                  <c:v>19.990000000000002</c:v>
                </c:pt>
                <c:pt idx="43">
                  <c:v>19.994999999999997</c:v>
                </c:pt>
                <c:pt idx="44">
                  <c:v>20</c:v>
                </c:pt>
                <c:pt idx="45">
                  <c:v>21</c:v>
                </c:pt>
                <c:pt idx="46">
                  <c:v>21.009999999999998</c:v>
                </c:pt>
                <c:pt idx="47">
                  <c:v>21.02</c:v>
                </c:pt>
                <c:pt idx="48">
                  <c:v>22</c:v>
                </c:pt>
                <c:pt idx="49">
                  <c:v>21.990000000000002</c:v>
                </c:pt>
                <c:pt idx="50">
                  <c:v>21.994999999999997</c:v>
                </c:pt>
                <c:pt idx="51">
                  <c:v>22</c:v>
                </c:pt>
                <c:pt idx="52">
                  <c:v>23</c:v>
                </c:pt>
                <c:pt idx="53">
                  <c:v>23.009999999999998</c:v>
                </c:pt>
                <c:pt idx="54">
                  <c:v>23.02</c:v>
                </c:pt>
                <c:pt idx="55">
                  <c:v>24</c:v>
                </c:pt>
                <c:pt idx="56">
                  <c:v>23.990000000000002</c:v>
                </c:pt>
                <c:pt idx="57">
                  <c:v>23.994999999999997</c:v>
                </c:pt>
                <c:pt idx="58">
                  <c:v>24</c:v>
                </c:pt>
                <c:pt idx="59">
                  <c:v>25</c:v>
                </c:pt>
                <c:pt idx="60">
                  <c:v>25.009999999999998</c:v>
                </c:pt>
                <c:pt idx="61">
                  <c:v>25.02</c:v>
                </c:pt>
                <c:pt idx="62">
                  <c:v>26</c:v>
                </c:pt>
                <c:pt idx="63">
                  <c:v>25.990000000000002</c:v>
                </c:pt>
                <c:pt idx="64">
                  <c:v>25.994999999999997</c:v>
                </c:pt>
                <c:pt idx="65">
                  <c:v>26</c:v>
                </c:pt>
                <c:pt idx="66">
                  <c:v>27</c:v>
                </c:pt>
                <c:pt idx="67">
                  <c:v>27.009999999999998</c:v>
                </c:pt>
                <c:pt idx="68">
                  <c:v>27.02</c:v>
                </c:pt>
                <c:pt idx="69">
                  <c:v>28</c:v>
                </c:pt>
                <c:pt idx="70">
                  <c:v>27.990000000000002</c:v>
                </c:pt>
                <c:pt idx="71">
                  <c:v>27.994999999999997</c:v>
                </c:pt>
                <c:pt idx="72">
                  <c:v>28</c:v>
                </c:pt>
                <c:pt idx="73">
                  <c:v>29</c:v>
                </c:pt>
                <c:pt idx="74">
                  <c:v>29.009999999999998</c:v>
                </c:pt>
                <c:pt idx="75">
                  <c:v>29.02</c:v>
                </c:pt>
                <c:pt idx="76">
                  <c:v>30</c:v>
                </c:pt>
                <c:pt idx="77">
                  <c:v>29.990000000000002</c:v>
                </c:pt>
                <c:pt idx="78">
                  <c:v>29.994999999999997</c:v>
                </c:pt>
                <c:pt idx="79">
                  <c:v>30</c:v>
                </c:pt>
                <c:pt idx="80">
                  <c:v>31</c:v>
                </c:pt>
                <c:pt idx="81">
                  <c:v>31.009999999999998</c:v>
                </c:pt>
                <c:pt idx="82">
                  <c:v>31.02</c:v>
                </c:pt>
                <c:pt idx="83">
                  <c:v>32</c:v>
                </c:pt>
                <c:pt idx="84">
                  <c:v>33</c:v>
                </c:pt>
              </c:numCache>
            </c:numRef>
          </c:xVal>
          <c:yVal>
            <c:numRef>
              <c:f>Sheet1!$D$10:$D$94</c:f>
              <c:numCache>
                <c:formatCode>General</c:formatCode>
                <c:ptCount val="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2.9</c:v>
                </c:pt>
                <c:pt idx="8">
                  <c:v>2.6</c:v>
                </c:pt>
                <c:pt idx="9">
                  <c:v>5</c:v>
                </c:pt>
                <c:pt idx="10">
                  <c:v>5</c:v>
                </c:pt>
                <c:pt idx="11">
                  <c:v>2.6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4.9000000000000004</c:v>
                </c:pt>
                <c:pt idx="16">
                  <c:v>5</c:v>
                </c:pt>
                <c:pt idx="17">
                  <c:v>5</c:v>
                </c:pt>
                <c:pt idx="18">
                  <c:v>2.6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4.9000000000000004</c:v>
                </c:pt>
                <c:pt idx="23">
                  <c:v>5</c:v>
                </c:pt>
                <c:pt idx="24">
                  <c:v>5</c:v>
                </c:pt>
                <c:pt idx="25">
                  <c:v>2.6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4.9000000000000004</c:v>
                </c:pt>
                <c:pt idx="30">
                  <c:v>5</c:v>
                </c:pt>
                <c:pt idx="31">
                  <c:v>5</c:v>
                </c:pt>
                <c:pt idx="32">
                  <c:v>2.6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4.9000000000000004</c:v>
                </c:pt>
                <c:pt idx="37">
                  <c:v>5</c:v>
                </c:pt>
                <c:pt idx="38">
                  <c:v>5</c:v>
                </c:pt>
                <c:pt idx="39">
                  <c:v>2.6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2.6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4.9000000000000004</c:v>
                </c:pt>
                <c:pt idx="51">
                  <c:v>5</c:v>
                </c:pt>
                <c:pt idx="52">
                  <c:v>5</c:v>
                </c:pt>
                <c:pt idx="53">
                  <c:v>2.6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4.9000000000000004</c:v>
                </c:pt>
                <c:pt idx="58">
                  <c:v>5</c:v>
                </c:pt>
                <c:pt idx="59">
                  <c:v>5</c:v>
                </c:pt>
                <c:pt idx="60">
                  <c:v>2.6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4.9000000000000004</c:v>
                </c:pt>
                <c:pt idx="65">
                  <c:v>5</c:v>
                </c:pt>
                <c:pt idx="66">
                  <c:v>5</c:v>
                </c:pt>
                <c:pt idx="67">
                  <c:v>2.6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4.9000000000000004</c:v>
                </c:pt>
                <c:pt idx="72">
                  <c:v>5</c:v>
                </c:pt>
                <c:pt idx="73">
                  <c:v>5</c:v>
                </c:pt>
                <c:pt idx="74">
                  <c:v>2.6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4.9000000000000004</c:v>
                </c:pt>
                <c:pt idx="79">
                  <c:v>5</c:v>
                </c:pt>
                <c:pt idx="80">
                  <c:v>5</c:v>
                </c:pt>
                <c:pt idx="81">
                  <c:v>2.6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77760"/>
        <c:axId val="198620672"/>
      </c:scatterChart>
      <c:valAx>
        <c:axId val="198277760"/>
        <c:scaling>
          <c:orientation val="minMax"/>
          <c:max val="35"/>
          <c:min val="9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20672"/>
        <c:crosses val="autoZero"/>
        <c:crossBetween val="midCat"/>
        <c:majorUnit val="1"/>
      </c:valAx>
      <c:valAx>
        <c:axId val="1986206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277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23965855126582"/>
          <c:y val="0.48514851485148514"/>
          <c:w val="0.14285740707908717"/>
          <c:h val="7.92079207920792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35421166306692E-2"/>
          <c:y val="0.11078732972412782"/>
          <c:w val="0.75809935205183587"/>
          <c:h val="0.6938785387984847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Sheet1!$G$9</c:f>
              <c:strCache>
                <c:ptCount val="1"/>
                <c:pt idx="0">
                  <c:v>信号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Sheet1!$F$10:$F$33</c:f>
              <c:numCache>
                <c:formatCode>General</c:formatCode>
                <c:ptCount val="24"/>
                <c:pt idx="0">
                  <c:v>1</c:v>
                </c:pt>
                <c:pt idx="1">
                  <c:v>9.99</c:v>
                </c:pt>
                <c:pt idx="2">
                  <c:v>9.9909999999999997</c:v>
                </c:pt>
                <c:pt idx="3">
                  <c:v>9.9920000000000009</c:v>
                </c:pt>
                <c:pt idx="4">
                  <c:v>9.9930000000000003</c:v>
                </c:pt>
                <c:pt idx="5">
                  <c:v>9.9939999999999998</c:v>
                </c:pt>
                <c:pt idx="6">
                  <c:v>9.9949999999999992</c:v>
                </c:pt>
                <c:pt idx="7">
                  <c:v>9.9960000000000004</c:v>
                </c:pt>
                <c:pt idx="8">
                  <c:v>9.9969999999999999</c:v>
                </c:pt>
                <c:pt idx="9">
                  <c:v>9.9979999999999993</c:v>
                </c:pt>
                <c:pt idx="10">
                  <c:v>9.9990000000000006</c:v>
                </c:pt>
                <c:pt idx="11">
                  <c:v>9.9999999999999893</c:v>
                </c:pt>
                <c:pt idx="12">
                  <c:v>11</c:v>
                </c:pt>
                <c:pt idx="13">
                  <c:v>14</c:v>
                </c:pt>
                <c:pt idx="14">
                  <c:v>14.000999999999999</c:v>
                </c:pt>
                <c:pt idx="15">
                  <c:v>14.002000000000001</c:v>
                </c:pt>
                <c:pt idx="16">
                  <c:v>14.010999999999999</c:v>
                </c:pt>
                <c:pt idx="17">
                  <c:v>18</c:v>
                </c:pt>
                <c:pt idx="18">
                  <c:v>18.010000000000002</c:v>
                </c:pt>
                <c:pt idx="19">
                  <c:v>20</c:v>
                </c:pt>
                <c:pt idx="20">
                  <c:v>20.010000000000002</c:v>
                </c:pt>
                <c:pt idx="21">
                  <c:v>33</c:v>
                </c:pt>
              </c:numCache>
            </c:numRef>
          </c:xVal>
          <c:yVal>
            <c:numRef>
              <c:f>Sheet1!$G$10:$G$33</c:f>
              <c:numCache>
                <c:formatCode>General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4.9000000000000004</c:v>
                </c:pt>
                <c:pt idx="15">
                  <c:v>4.8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37440"/>
        <c:axId val="200024064"/>
      </c:scatterChart>
      <c:valAx>
        <c:axId val="198637440"/>
        <c:scaling>
          <c:orientation val="minMax"/>
          <c:max val="35"/>
          <c:min val="9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00024064"/>
        <c:crosses val="autoZero"/>
        <c:crossBetween val="midCat"/>
        <c:majorUnit val="1"/>
      </c:valAx>
      <c:valAx>
        <c:axId val="20002406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37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273050</xdr:colOff>
      <xdr:row>12</xdr:row>
      <xdr:rowOff>12700</xdr:rowOff>
    </xdr:from>
    <xdr:to>
      <xdr:col>24</xdr:col>
      <xdr:colOff>44450</xdr:colOff>
      <xdr:row>27</xdr:row>
      <xdr:rowOff>101600</xdr:rowOff>
    </xdr:to>
    <xdr:graphicFrame macro="">
      <xdr:nvGraphicFramePr>
        <xdr:cNvPr id="1026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260350</xdr:colOff>
      <xdr:row>26</xdr:row>
      <xdr:rowOff>95250</xdr:rowOff>
    </xdr:from>
    <xdr:to>
      <xdr:col>24</xdr:col>
      <xdr:colOff>44450</xdr:colOff>
      <xdr:row>39</xdr:row>
      <xdr:rowOff>127000</xdr:rowOff>
    </xdr:to>
    <xdr:graphicFrame macro="">
      <xdr:nvGraphicFramePr>
        <xdr:cNvPr id="1029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335643</xdr:colOff>
      <xdr:row>3</xdr:row>
      <xdr:rowOff>145143</xdr:rowOff>
    </xdr:from>
    <xdr:to>
      <xdr:col>56</xdr:col>
      <xdr:colOff>344714</xdr:colOff>
      <xdr:row>6</xdr:row>
      <xdr:rowOff>0</xdr:rowOff>
    </xdr:to>
    <xdr:cxnSp macro="">
      <xdr:nvCxnSpPr>
        <xdr:cNvPr id="3" name="直線コネクタ 2"/>
        <xdr:cNvCxnSpPr/>
      </xdr:nvCxnSpPr>
      <xdr:spPr>
        <a:xfrm flipH="1">
          <a:off x="34453286" y="635000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333830</xdr:colOff>
      <xdr:row>3</xdr:row>
      <xdr:rowOff>161472</xdr:rowOff>
    </xdr:from>
    <xdr:to>
      <xdr:col>60</xdr:col>
      <xdr:colOff>108857</xdr:colOff>
      <xdr:row>4</xdr:row>
      <xdr:rowOff>0</xdr:rowOff>
    </xdr:to>
    <xdr:cxnSp macro="">
      <xdr:nvCxnSpPr>
        <xdr:cNvPr id="4" name="直線コネクタ 3"/>
        <xdr:cNvCxnSpPr/>
      </xdr:nvCxnSpPr>
      <xdr:spPr>
        <a:xfrm flipH="1" flipV="1">
          <a:off x="34451473" y="651329"/>
          <a:ext cx="2206170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206829</xdr:colOff>
      <xdr:row>12</xdr:row>
      <xdr:rowOff>27214</xdr:rowOff>
    </xdr:from>
    <xdr:to>
      <xdr:col>57</xdr:col>
      <xdr:colOff>235856</xdr:colOff>
      <xdr:row>14</xdr:row>
      <xdr:rowOff>88900</xdr:rowOff>
    </xdr:to>
    <xdr:cxnSp macro="">
      <xdr:nvCxnSpPr>
        <xdr:cNvPr id="7" name="直線コネクタ 6"/>
        <xdr:cNvCxnSpPr/>
      </xdr:nvCxnSpPr>
      <xdr:spPr>
        <a:xfrm flipH="1">
          <a:off x="34932258" y="1986643"/>
          <a:ext cx="29027" cy="388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97972</xdr:colOff>
      <xdr:row>3</xdr:row>
      <xdr:rowOff>143329</xdr:rowOff>
    </xdr:from>
    <xdr:to>
      <xdr:col>60</xdr:col>
      <xdr:colOff>107043</xdr:colOff>
      <xdr:row>5</xdr:row>
      <xdr:rowOff>161471</xdr:rowOff>
    </xdr:to>
    <xdr:cxnSp macro="">
      <xdr:nvCxnSpPr>
        <xdr:cNvPr id="9" name="直線コネクタ 8"/>
        <xdr:cNvCxnSpPr/>
      </xdr:nvCxnSpPr>
      <xdr:spPr>
        <a:xfrm flipH="1">
          <a:off x="36646758" y="633186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188686</xdr:colOff>
      <xdr:row>5</xdr:row>
      <xdr:rowOff>152400</xdr:rowOff>
    </xdr:from>
    <xdr:to>
      <xdr:col>57</xdr:col>
      <xdr:colOff>197757</xdr:colOff>
      <xdr:row>8</xdr:row>
      <xdr:rowOff>7257</xdr:rowOff>
    </xdr:to>
    <xdr:cxnSp macro="">
      <xdr:nvCxnSpPr>
        <xdr:cNvPr id="10" name="直線コネクタ 9"/>
        <xdr:cNvCxnSpPr/>
      </xdr:nvCxnSpPr>
      <xdr:spPr>
        <a:xfrm flipH="1">
          <a:off x="34914115" y="968829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195945</xdr:colOff>
      <xdr:row>5</xdr:row>
      <xdr:rowOff>150586</xdr:rowOff>
    </xdr:from>
    <xdr:to>
      <xdr:col>61</xdr:col>
      <xdr:colOff>580572</xdr:colOff>
      <xdr:row>6</xdr:row>
      <xdr:rowOff>9072</xdr:rowOff>
    </xdr:to>
    <xdr:cxnSp macro="">
      <xdr:nvCxnSpPr>
        <xdr:cNvPr id="11" name="直線コネクタ 10"/>
        <xdr:cNvCxnSpPr/>
      </xdr:nvCxnSpPr>
      <xdr:spPr>
        <a:xfrm flipH="1" flipV="1">
          <a:off x="34921374" y="967015"/>
          <a:ext cx="2815769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544286</xdr:colOff>
      <xdr:row>5</xdr:row>
      <xdr:rowOff>134256</xdr:rowOff>
    </xdr:from>
    <xdr:to>
      <xdr:col>61</xdr:col>
      <xdr:colOff>569687</xdr:colOff>
      <xdr:row>7</xdr:row>
      <xdr:rowOff>154214</xdr:rowOff>
    </xdr:to>
    <xdr:cxnSp macro="">
      <xdr:nvCxnSpPr>
        <xdr:cNvPr id="13" name="直線コネクタ 12"/>
        <xdr:cNvCxnSpPr/>
      </xdr:nvCxnSpPr>
      <xdr:spPr>
        <a:xfrm flipH="1">
          <a:off x="37700857" y="950685"/>
          <a:ext cx="25401" cy="3465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5444</xdr:colOff>
      <xdr:row>8</xdr:row>
      <xdr:rowOff>159657</xdr:rowOff>
    </xdr:from>
    <xdr:to>
      <xdr:col>58</xdr:col>
      <xdr:colOff>14515</xdr:colOff>
      <xdr:row>11</xdr:row>
      <xdr:rowOff>14514</xdr:rowOff>
    </xdr:to>
    <xdr:cxnSp macro="">
      <xdr:nvCxnSpPr>
        <xdr:cNvPr id="19" name="直線コネクタ 18"/>
        <xdr:cNvCxnSpPr/>
      </xdr:nvCxnSpPr>
      <xdr:spPr>
        <a:xfrm flipH="1">
          <a:off x="35338658" y="1465943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12703</xdr:colOff>
      <xdr:row>8</xdr:row>
      <xdr:rowOff>154214</xdr:rowOff>
    </xdr:from>
    <xdr:to>
      <xdr:col>59</xdr:col>
      <xdr:colOff>9071</xdr:colOff>
      <xdr:row>8</xdr:row>
      <xdr:rowOff>157843</xdr:rowOff>
    </xdr:to>
    <xdr:cxnSp macro="">
      <xdr:nvCxnSpPr>
        <xdr:cNvPr id="20" name="直線コネクタ 19"/>
        <xdr:cNvCxnSpPr/>
      </xdr:nvCxnSpPr>
      <xdr:spPr>
        <a:xfrm flipH="1">
          <a:off x="35345917" y="1460500"/>
          <a:ext cx="604154" cy="36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589643</xdr:colOff>
      <xdr:row>8</xdr:row>
      <xdr:rowOff>150585</xdr:rowOff>
    </xdr:from>
    <xdr:to>
      <xdr:col>58</xdr:col>
      <xdr:colOff>604159</xdr:colOff>
      <xdr:row>11</xdr:row>
      <xdr:rowOff>9071</xdr:rowOff>
    </xdr:to>
    <xdr:cxnSp macro="">
      <xdr:nvCxnSpPr>
        <xdr:cNvPr id="21" name="直線コネクタ 20"/>
        <xdr:cNvCxnSpPr/>
      </xdr:nvCxnSpPr>
      <xdr:spPr>
        <a:xfrm flipH="1">
          <a:off x="35922857" y="1456871"/>
          <a:ext cx="14516" cy="3483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604158</xdr:colOff>
      <xdr:row>12</xdr:row>
      <xdr:rowOff>7257</xdr:rowOff>
    </xdr:from>
    <xdr:to>
      <xdr:col>58</xdr:col>
      <xdr:colOff>25400</xdr:colOff>
      <xdr:row>14</xdr:row>
      <xdr:rowOff>68943</xdr:rowOff>
    </xdr:to>
    <xdr:cxnSp macro="">
      <xdr:nvCxnSpPr>
        <xdr:cNvPr id="26" name="直線コネクタ 25"/>
        <xdr:cNvCxnSpPr/>
      </xdr:nvCxnSpPr>
      <xdr:spPr>
        <a:xfrm flipH="1">
          <a:off x="35329587" y="1966686"/>
          <a:ext cx="29027" cy="388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593274</xdr:colOff>
      <xdr:row>11</xdr:row>
      <xdr:rowOff>127000</xdr:rowOff>
    </xdr:from>
    <xdr:to>
      <xdr:col>59</xdr:col>
      <xdr:colOff>9071</xdr:colOff>
      <xdr:row>14</xdr:row>
      <xdr:rowOff>30843</xdr:rowOff>
    </xdr:to>
    <xdr:cxnSp macro="">
      <xdr:nvCxnSpPr>
        <xdr:cNvPr id="27" name="直線コネクタ 26"/>
        <xdr:cNvCxnSpPr/>
      </xdr:nvCxnSpPr>
      <xdr:spPr>
        <a:xfrm flipH="1">
          <a:off x="35926488" y="1923143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210460</xdr:colOff>
      <xdr:row>12</xdr:row>
      <xdr:rowOff>0</xdr:rowOff>
    </xdr:from>
    <xdr:to>
      <xdr:col>58</xdr:col>
      <xdr:colOff>45357</xdr:colOff>
      <xdr:row>12</xdr:row>
      <xdr:rowOff>10886</xdr:rowOff>
    </xdr:to>
    <xdr:cxnSp macro="">
      <xdr:nvCxnSpPr>
        <xdr:cNvPr id="28" name="直線コネクタ 27"/>
        <xdr:cNvCxnSpPr/>
      </xdr:nvCxnSpPr>
      <xdr:spPr>
        <a:xfrm flipH="1">
          <a:off x="34935889" y="1959429"/>
          <a:ext cx="442682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54</xdr:col>
      <xdr:colOff>320656</xdr:colOff>
      <xdr:row>3</xdr:row>
      <xdr:rowOff>90715</xdr:rowOff>
    </xdr:from>
    <xdr:ext cx="466794" cy="275717"/>
    <xdr:sp macro="" textlink="">
      <xdr:nvSpPr>
        <xdr:cNvPr id="30" name="正方形/長方形 29"/>
        <xdr:cNvSpPr/>
      </xdr:nvSpPr>
      <xdr:spPr>
        <a:xfrm>
          <a:off x="33197091" y="5876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54</xdr:col>
      <xdr:colOff>451758</xdr:colOff>
      <xdr:row>6</xdr:row>
      <xdr:rowOff>70758</xdr:rowOff>
    </xdr:from>
    <xdr:ext cx="466794" cy="275717"/>
    <xdr:sp macro="" textlink="">
      <xdr:nvSpPr>
        <xdr:cNvPr id="31" name="正方形/長方形 30"/>
        <xdr:cNvSpPr/>
      </xdr:nvSpPr>
      <xdr:spPr>
        <a:xfrm>
          <a:off x="33353829" y="10504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54</xdr:col>
      <xdr:colOff>440872</xdr:colOff>
      <xdr:row>9</xdr:row>
      <xdr:rowOff>14515</xdr:rowOff>
    </xdr:from>
    <xdr:ext cx="344390" cy="264560"/>
    <xdr:sp macro="" textlink="">
      <xdr:nvSpPr>
        <xdr:cNvPr id="32" name="正方形/長方形 31"/>
        <xdr:cNvSpPr/>
      </xdr:nvSpPr>
      <xdr:spPr>
        <a:xfrm>
          <a:off x="33342943" y="1484086"/>
          <a:ext cx="344390" cy="264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100"/>
            <a:t>PD</a:t>
          </a:r>
          <a:endParaRPr kumimoji="1" lang="ja-JP" altLang="en-US" sz="1100"/>
        </a:p>
      </xdr:txBody>
    </xdr:sp>
    <xdr:clientData/>
  </xdr:oneCellAnchor>
  <xdr:oneCellAnchor>
    <xdr:from>
      <xdr:col>54</xdr:col>
      <xdr:colOff>422729</xdr:colOff>
      <xdr:row>12</xdr:row>
      <xdr:rowOff>129145</xdr:rowOff>
    </xdr:from>
    <xdr:ext cx="466794" cy="275717"/>
    <xdr:sp macro="" textlink="">
      <xdr:nvSpPr>
        <xdr:cNvPr id="33" name="正方形/長方形 32"/>
        <xdr:cNvSpPr/>
      </xdr:nvSpPr>
      <xdr:spPr>
        <a:xfrm>
          <a:off x="33535093" y="2068781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出力</a:t>
          </a:r>
        </a:p>
      </xdr:txBody>
    </xdr:sp>
    <xdr:clientData/>
  </xdr:oneCellAnchor>
  <xdr:twoCellAnchor>
    <xdr:from>
      <xdr:col>58</xdr:col>
      <xdr:colOff>18146</xdr:colOff>
      <xdr:row>14</xdr:row>
      <xdr:rowOff>18143</xdr:rowOff>
    </xdr:from>
    <xdr:to>
      <xdr:col>59</xdr:col>
      <xdr:colOff>0</xdr:colOff>
      <xdr:row>14</xdr:row>
      <xdr:rowOff>27215</xdr:rowOff>
    </xdr:to>
    <xdr:cxnSp macro="">
      <xdr:nvCxnSpPr>
        <xdr:cNvPr id="35" name="直線コネクタ 34"/>
        <xdr:cNvCxnSpPr/>
      </xdr:nvCxnSpPr>
      <xdr:spPr>
        <a:xfrm flipH="1">
          <a:off x="35351360" y="2304143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57</xdr:col>
      <xdr:colOff>330200</xdr:colOff>
      <xdr:row>21</xdr:row>
      <xdr:rowOff>112485</xdr:rowOff>
    </xdr:from>
    <xdr:ext cx="854145" cy="459100"/>
    <xdr:sp macro="" textlink="">
      <xdr:nvSpPr>
        <xdr:cNvPr id="37" name="正方形/長方形 36"/>
        <xdr:cNvSpPr/>
      </xdr:nvSpPr>
      <xdr:spPr>
        <a:xfrm>
          <a:off x="35055629" y="3541485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oneCellAnchor>
    <xdr:from>
      <xdr:col>56</xdr:col>
      <xdr:colOff>92529</xdr:colOff>
      <xdr:row>15</xdr:row>
      <xdr:rowOff>1814</xdr:rowOff>
    </xdr:from>
    <xdr:ext cx="854145" cy="459100"/>
    <xdr:sp macro="" textlink="">
      <xdr:nvSpPr>
        <xdr:cNvPr id="38" name="正方形/長方形 37"/>
        <xdr:cNvSpPr/>
      </xdr:nvSpPr>
      <xdr:spPr>
        <a:xfrm>
          <a:off x="34210172" y="2451100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58</xdr:col>
      <xdr:colOff>264887</xdr:colOff>
      <xdr:row>21</xdr:row>
      <xdr:rowOff>128814</xdr:rowOff>
    </xdr:from>
    <xdr:ext cx="854145" cy="447943"/>
    <xdr:sp macro="" textlink="">
      <xdr:nvSpPr>
        <xdr:cNvPr id="39" name="正方形/長方形 38"/>
        <xdr:cNvSpPr/>
      </xdr:nvSpPr>
      <xdr:spPr>
        <a:xfrm>
          <a:off x="35598101" y="3557814"/>
          <a:ext cx="854145" cy="4479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twoCellAnchor>
    <xdr:from>
      <xdr:col>59</xdr:col>
      <xdr:colOff>34475</xdr:colOff>
      <xdr:row>11</xdr:row>
      <xdr:rowOff>152400</xdr:rowOff>
    </xdr:from>
    <xdr:to>
      <xdr:col>60</xdr:col>
      <xdr:colOff>16329</xdr:colOff>
      <xdr:row>11</xdr:row>
      <xdr:rowOff>161472</xdr:rowOff>
    </xdr:to>
    <xdr:cxnSp macro="">
      <xdr:nvCxnSpPr>
        <xdr:cNvPr id="40" name="直線コネクタ 39"/>
        <xdr:cNvCxnSpPr/>
      </xdr:nvCxnSpPr>
      <xdr:spPr>
        <a:xfrm flipH="1">
          <a:off x="35975475" y="1948543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600531</xdr:colOff>
      <xdr:row>11</xdr:row>
      <xdr:rowOff>143329</xdr:rowOff>
    </xdr:from>
    <xdr:to>
      <xdr:col>60</xdr:col>
      <xdr:colOff>16328</xdr:colOff>
      <xdr:row>14</xdr:row>
      <xdr:rowOff>47172</xdr:rowOff>
    </xdr:to>
    <xdr:cxnSp macro="">
      <xdr:nvCxnSpPr>
        <xdr:cNvPr id="42" name="直線コネクタ 41"/>
        <xdr:cNvCxnSpPr/>
      </xdr:nvCxnSpPr>
      <xdr:spPr>
        <a:xfrm flipH="1">
          <a:off x="36541531" y="1939472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181430</xdr:colOff>
      <xdr:row>15</xdr:row>
      <xdr:rowOff>18143</xdr:rowOff>
    </xdr:from>
    <xdr:ext cx="854145" cy="459100"/>
    <xdr:sp macro="" textlink="">
      <xdr:nvSpPr>
        <xdr:cNvPr id="43" name="正方形/長方形 42"/>
        <xdr:cNvSpPr/>
      </xdr:nvSpPr>
      <xdr:spPr>
        <a:xfrm>
          <a:off x="37338001" y="2467429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59</xdr:col>
      <xdr:colOff>119743</xdr:colOff>
      <xdr:row>18</xdr:row>
      <xdr:rowOff>38099</xdr:rowOff>
    </xdr:from>
    <xdr:ext cx="854145" cy="459100"/>
    <xdr:sp macro="" textlink="">
      <xdr:nvSpPr>
        <xdr:cNvPr id="45" name="正方形/長方形 44"/>
        <xdr:cNvSpPr/>
      </xdr:nvSpPr>
      <xdr:spPr>
        <a:xfrm>
          <a:off x="36060743" y="2977242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61</xdr:col>
      <xdr:colOff>47174</xdr:colOff>
      <xdr:row>3</xdr:row>
      <xdr:rowOff>79829</xdr:rowOff>
    </xdr:from>
    <xdr:to>
      <xdr:col>61</xdr:col>
      <xdr:colOff>70757</xdr:colOff>
      <xdr:row>5</xdr:row>
      <xdr:rowOff>146957</xdr:rowOff>
    </xdr:to>
    <xdr:cxnSp macro="">
      <xdr:nvCxnSpPr>
        <xdr:cNvPr id="46" name="直線コネクタ 45"/>
        <xdr:cNvCxnSpPr/>
      </xdr:nvCxnSpPr>
      <xdr:spPr>
        <a:xfrm flipH="1">
          <a:off x="37203745" y="569686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79831</xdr:colOff>
      <xdr:row>5</xdr:row>
      <xdr:rowOff>134257</xdr:rowOff>
    </xdr:from>
    <xdr:to>
      <xdr:col>61</xdr:col>
      <xdr:colOff>61686</xdr:colOff>
      <xdr:row>5</xdr:row>
      <xdr:rowOff>143329</xdr:rowOff>
    </xdr:to>
    <xdr:cxnSp macro="">
      <xdr:nvCxnSpPr>
        <xdr:cNvPr id="47" name="直線コネクタ 46"/>
        <xdr:cNvCxnSpPr/>
      </xdr:nvCxnSpPr>
      <xdr:spPr>
        <a:xfrm flipH="1">
          <a:off x="36628617" y="9506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60</xdr:col>
      <xdr:colOff>217714</xdr:colOff>
      <xdr:row>18</xdr:row>
      <xdr:rowOff>18143</xdr:rowOff>
    </xdr:from>
    <xdr:ext cx="854145" cy="459100"/>
    <xdr:sp macro="" textlink="">
      <xdr:nvSpPr>
        <xdr:cNvPr id="48" name="正方形/長方形 47"/>
        <xdr:cNvSpPr/>
      </xdr:nvSpPr>
      <xdr:spPr>
        <a:xfrm>
          <a:off x="36766500" y="2957286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60</xdr:col>
      <xdr:colOff>571502</xdr:colOff>
      <xdr:row>11</xdr:row>
      <xdr:rowOff>159657</xdr:rowOff>
    </xdr:from>
    <xdr:to>
      <xdr:col>60</xdr:col>
      <xdr:colOff>595085</xdr:colOff>
      <xdr:row>14</xdr:row>
      <xdr:rowOff>63500</xdr:rowOff>
    </xdr:to>
    <xdr:cxnSp macro="">
      <xdr:nvCxnSpPr>
        <xdr:cNvPr id="49" name="直線コネクタ 48"/>
        <xdr:cNvCxnSpPr/>
      </xdr:nvCxnSpPr>
      <xdr:spPr>
        <a:xfrm flipH="1">
          <a:off x="37120288" y="1955800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604160</xdr:colOff>
      <xdr:row>14</xdr:row>
      <xdr:rowOff>50800</xdr:rowOff>
    </xdr:from>
    <xdr:to>
      <xdr:col>60</xdr:col>
      <xdr:colOff>586014</xdr:colOff>
      <xdr:row>14</xdr:row>
      <xdr:rowOff>59872</xdr:rowOff>
    </xdr:to>
    <xdr:cxnSp macro="">
      <xdr:nvCxnSpPr>
        <xdr:cNvPr id="50" name="直線コネクタ 49"/>
        <xdr:cNvCxnSpPr/>
      </xdr:nvCxnSpPr>
      <xdr:spPr>
        <a:xfrm flipH="1">
          <a:off x="36545160" y="2336800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32659</xdr:colOff>
      <xdr:row>3</xdr:row>
      <xdr:rowOff>114300</xdr:rowOff>
    </xdr:from>
    <xdr:to>
      <xdr:col>63</xdr:col>
      <xdr:colOff>9071</xdr:colOff>
      <xdr:row>3</xdr:row>
      <xdr:rowOff>136072</xdr:rowOff>
    </xdr:to>
    <xdr:cxnSp macro="">
      <xdr:nvCxnSpPr>
        <xdr:cNvPr id="51" name="直線コネクタ 50"/>
        <xdr:cNvCxnSpPr/>
      </xdr:nvCxnSpPr>
      <xdr:spPr>
        <a:xfrm flipH="1" flipV="1">
          <a:off x="37189230" y="604157"/>
          <a:ext cx="119198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567874</xdr:colOff>
      <xdr:row>12</xdr:row>
      <xdr:rowOff>32657</xdr:rowOff>
    </xdr:from>
    <xdr:to>
      <xdr:col>61</xdr:col>
      <xdr:colOff>549729</xdr:colOff>
      <xdr:row>12</xdr:row>
      <xdr:rowOff>41729</xdr:rowOff>
    </xdr:to>
    <xdr:cxnSp macro="">
      <xdr:nvCxnSpPr>
        <xdr:cNvPr id="52" name="直線コネクタ 51"/>
        <xdr:cNvCxnSpPr/>
      </xdr:nvCxnSpPr>
      <xdr:spPr>
        <a:xfrm flipH="1">
          <a:off x="37116660" y="19920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526145</xdr:colOff>
      <xdr:row>12</xdr:row>
      <xdr:rowOff>23586</xdr:rowOff>
    </xdr:from>
    <xdr:to>
      <xdr:col>61</xdr:col>
      <xdr:colOff>549728</xdr:colOff>
      <xdr:row>14</xdr:row>
      <xdr:rowOff>90715</xdr:rowOff>
    </xdr:to>
    <xdr:cxnSp macro="">
      <xdr:nvCxnSpPr>
        <xdr:cNvPr id="53" name="直線コネクタ 52"/>
        <xdr:cNvCxnSpPr/>
      </xdr:nvCxnSpPr>
      <xdr:spPr>
        <a:xfrm flipH="1">
          <a:off x="37682716" y="1983015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529774</xdr:colOff>
      <xdr:row>14</xdr:row>
      <xdr:rowOff>81643</xdr:rowOff>
    </xdr:from>
    <xdr:to>
      <xdr:col>63</xdr:col>
      <xdr:colOff>27214</xdr:colOff>
      <xdr:row>14</xdr:row>
      <xdr:rowOff>103415</xdr:rowOff>
    </xdr:to>
    <xdr:cxnSp macro="">
      <xdr:nvCxnSpPr>
        <xdr:cNvPr id="54" name="直線コネクタ 53"/>
        <xdr:cNvCxnSpPr/>
      </xdr:nvCxnSpPr>
      <xdr:spPr>
        <a:xfrm flipH="1">
          <a:off x="37686345" y="2367643"/>
          <a:ext cx="713012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402775</xdr:colOff>
      <xdr:row>11</xdr:row>
      <xdr:rowOff>0</xdr:rowOff>
    </xdr:from>
    <xdr:to>
      <xdr:col>58</xdr:col>
      <xdr:colOff>27215</xdr:colOff>
      <xdr:row>11</xdr:row>
      <xdr:rowOff>3630</xdr:rowOff>
    </xdr:to>
    <xdr:cxnSp macro="">
      <xdr:nvCxnSpPr>
        <xdr:cNvPr id="56" name="直線コネクタ 55"/>
        <xdr:cNvCxnSpPr/>
      </xdr:nvCxnSpPr>
      <xdr:spPr>
        <a:xfrm flipH="1">
          <a:off x="33912632" y="1796143"/>
          <a:ext cx="1447797" cy="36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573319</xdr:colOff>
      <xdr:row>11</xdr:row>
      <xdr:rowOff>1817</xdr:rowOff>
    </xdr:from>
    <xdr:to>
      <xdr:col>63</xdr:col>
      <xdr:colOff>27214</xdr:colOff>
      <xdr:row>11</xdr:row>
      <xdr:rowOff>18143</xdr:rowOff>
    </xdr:to>
    <xdr:cxnSp macro="">
      <xdr:nvCxnSpPr>
        <xdr:cNvPr id="58" name="直線コネクタ 57"/>
        <xdr:cNvCxnSpPr/>
      </xdr:nvCxnSpPr>
      <xdr:spPr>
        <a:xfrm flipH="1" flipV="1">
          <a:off x="35906533" y="1797960"/>
          <a:ext cx="2492824" cy="163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547916</xdr:colOff>
      <xdr:row>7</xdr:row>
      <xdr:rowOff>127000</xdr:rowOff>
    </xdr:from>
    <xdr:to>
      <xdr:col>63</xdr:col>
      <xdr:colOff>36286</xdr:colOff>
      <xdr:row>7</xdr:row>
      <xdr:rowOff>148771</xdr:rowOff>
    </xdr:to>
    <xdr:cxnSp macro="">
      <xdr:nvCxnSpPr>
        <xdr:cNvPr id="61" name="直線コネクタ 60"/>
        <xdr:cNvCxnSpPr/>
      </xdr:nvCxnSpPr>
      <xdr:spPr>
        <a:xfrm flipH="1">
          <a:off x="37704487" y="1270000"/>
          <a:ext cx="703942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491673</xdr:colOff>
      <xdr:row>7</xdr:row>
      <xdr:rowOff>156028</xdr:rowOff>
    </xdr:from>
    <xdr:to>
      <xdr:col>57</xdr:col>
      <xdr:colOff>199571</xdr:colOff>
      <xdr:row>8</xdr:row>
      <xdr:rowOff>0</xdr:rowOff>
    </xdr:to>
    <xdr:cxnSp macro="">
      <xdr:nvCxnSpPr>
        <xdr:cNvPr id="62" name="直線コネクタ 61"/>
        <xdr:cNvCxnSpPr/>
      </xdr:nvCxnSpPr>
      <xdr:spPr>
        <a:xfrm flipH="1" flipV="1">
          <a:off x="34001530" y="1299028"/>
          <a:ext cx="923470" cy="72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422732</xdr:colOff>
      <xdr:row>5</xdr:row>
      <xdr:rowOff>132443</xdr:rowOff>
    </xdr:from>
    <xdr:to>
      <xdr:col>56</xdr:col>
      <xdr:colOff>404586</xdr:colOff>
      <xdr:row>5</xdr:row>
      <xdr:rowOff>141515</xdr:rowOff>
    </xdr:to>
    <xdr:cxnSp macro="">
      <xdr:nvCxnSpPr>
        <xdr:cNvPr id="64" name="直線コネクタ 63"/>
        <xdr:cNvCxnSpPr/>
      </xdr:nvCxnSpPr>
      <xdr:spPr>
        <a:xfrm flipH="1">
          <a:off x="33932589" y="948872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382816</xdr:colOff>
      <xdr:row>13</xdr:row>
      <xdr:rowOff>156029</xdr:rowOff>
    </xdr:from>
    <xdr:to>
      <xdr:col>57</xdr:col>
      <xdr:colOff>235857</xdr:colOff>
      <xdr:row>14</xdr:row>
      <xdr:rowOff>0</xdr:rowOff>
    </xdr:to>
    <xdr:cxnSp macro="">
      <xdr:nvCxnSpPr>
        <xdr:cNvPr id="69" name="直線コネクタ 68"/>
        <xdr:cNvCxnSpPr/>
      </xdr:nvCxnSpPr>
      <xdr:spPr>
        <a:xfrm flipH="1" flipV="1">
          <a:off x="33892673" y="2278743"/>
          <a:ext cx="1068613" cy="7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468954</xdr:colOff>
      <xdr:row>4</xdr:row>
      <xdr:rowOff>33129</xdr:rowOff>
    </xdr:from>
    <xdr:to>
      <xdr:col>56</xdr:col>
      <xdr:colOff>331305</xdr:colOff>
      <xdr:row>5</xdr:row>
      <xdr:rowOff>134886</xdr:rowOff>
    </xdr:to>
    <xdr:sp macro="" textlink="">
      <xdr:nvSpPr>
        <xdr:cNvPr id="2" name="右中かっこ 1"/>
        <xdr:cNvSpPr/>
      </xdr:nvSpPr>
      <xdr:spPr>
        <a:xfrm rot="16200000" flipV="1">
          <a:off x="34053946" y="594572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309218</xdr:colOff>
      <xdr:row>2</xdr:row>
      <xdr:rowOff>58530</xdr:rowOff>
    </xdr:from>
    <xdr:to>
      <xdr:col>56</xdr:col>
      <xdr:colOff>389836</xdr:colOff>
      <xdr:row>3</xdr:row>
      <xdr:rowOff>160286</xdr:rowOff>
    </xdr:to>
    <xdr:sp macro="" textlink="">
      <xdr:nvSpPr>
        <xdr:cNvPr id="55" name="右中かっこ 54"/>
        <xdr:cNvSpPr/>
      </xdr:nvSpPr>
      <xdr:spPr>
        <a:xfrm rot="16200000" flipV="1">
          <a:off x="34307039" y="483230"/>
          <a:ext cx="267409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55</xdr:col>
      <xdr:colOff>528273</xdr:colOff>
      <xdr:row>3</xdr:row>
      <xdr:rowOff>44174</xdr:rowOff>
    </xdr:from>
    <xdr:ext cx="279298" cy="244930"/>
    <xdr:sp macro="" textlink="">
      <xdr:nvSpPr>
        <xdr:cNvPr id="57" name="正方形/長方形 56"/>
        <xdr:cNvSpPr/>
      </xdr:nvSpPr>
      <xdr:spPr>
        <a:xfrm>
          <a:off x="34012099" y="541131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56</xdr:col>
      <xdr:colOff>222369</xdr:colOff>
      <xdr:row>0</xdr:row>
      <xdr:rowOff>146879</xdr:rowOff>
    </xdr:from>
    <xdr:ext cx="254741" cy="244930"/>
    <xdr:sp macro="" textlink="">
      <xdr:nvSpPr>
        <xdr:cNvPr id="59" name="正方形/長方形 58"/>
        <xdr:cNvSpPr/>
      </xdr:nvSpPr>
      <xdr:spPr>
        <a:xfrm>
          <a:off x="34313586" y="14687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75096</xdr:colOff>
      <xdr:row>2</xdr:row>
      <xdr:rowOff>50800</xdr:rowOff>
    </xdr:from>
    <xdr:to>
      <xdr:col>60</xdr:col>
      <xdr:colOff>155714</xdr:colOff>
      <xdr:row>3</xdr:row>
      <xdr:rowOff>152556</xdr:rowOff>
    </xdr:to>
    <xdr:sp macro="" textlink="">
      <xdr:nvSpPr>
        <xdr:cNvPr id="60" name="右中かっこ 59"/>
        <xdr:cNvSpPr/>
      </xdr:nvSpPr>
      <xdr:spPr>
        <a:xfrm rot="16200000" flipV="1">
          <a:off x="36502483" y="475500"/>
          <a:ext cx="267409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595639</xdr:colOff>
      <xdr:row>0</xdr:row>
      <xdr:rowOff>139149</xdr:rowOff>
    </xdr:from>
    <xdr:ext cx="254741" cy="244930"/>
    <xdr:sp macro="" textlink="">
      <xdr:nvSpPr>
        <xdr:cNvPr id="63" name="正方形/長方形 62"/>
        <xdr:cNvSpPr/>
      </xdr:nvSpPr>
      <xdr:spPr>
        <a:xfrm>
          <a:off x="36509030" y="13914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56</xdr:col>
      <xdr:colOff>312137</xdr:colOff>
      <xdr:row>6</xdr:row>
      <xdr:rowOff>58529</xdr:rowOff>
    </xdr:from>
    <xdr:to>
      <xdr:col>57</xdr:col>
      <xdr:colOff>174487</xdr:colOff>
      <xdr:row>7</xdr:row>
      <xdr:rowOff>160286</xdr:rowOff>
    </xdr:to>
    <xdr:sp macro="" textlink="">
      <xdr:nvSpPr>
        <xdr:cNvPr id="66" name="右中かっこ 65"/>
        <xdr:cNvSpPr/>
      </xdr:nvSpPr>
      <xdr:spPr>
        <a:xfrm rot="16200000" flipV="1">
          <a:off x="34504520" y="951276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56</xdr:col>
      <xdr:colOff>371456</xdr:colOff>
      <xdr:row>5</xdr:row>
      <xdr:rowOff>69574</xdr:rowOff>
    </xdr:from>
    <xdr:ext cx="279298" cy="244930"/>
    <xdr:sp macro="" textlink="">
      <xdr:nvSpPr>
        <xdr:cNvPr id="70" name="正方形/長方形 69"/>
        <xdr:cNvSpPr/>
      </xdr:nvSpPr>
      <xdr:spPr>
        <a:xfrm>
          <a:off x="34462673" y="89783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57</xdr:col>
      <xdr:colOff>160841</xdr:colOff>
      <xdr:row>10</xdr:row>
      <xdr:rowOff>56320</xdr:rowOff>
    </xdr:from>
    <xdr:to>
      <xdr:col>58</xdr:col>
      <xdr:colOff>23192</xdr:colOff>
      <xdr:row>11</xdr:row>
      <xdr:rowOff>158077</xdr:rowOff>
    </xdr:to>
    <xdr:sp macro="" textlink="">
      <xdr:nvSpPr>
        <xdr:cNvPr id="71" name="右中かっこ 70"/>
        <xdr:cNvSpPr/>
      </xdr:nvSpPr>
      <xdr:spPr>
        <a:xfrm rot="16200000" flipV="1">
          <a:off x="34960616" y="1611676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57</xdr:col>
      <xdr:colOff>220160</xdr:colOff>
      <xdr:row>9</xdr:row>
      <xdr:rowOff>67365</xdr:rowOff>
    </xdr:from>
    <xdr:ext cx="279298" cy="244930"/>
    <xdr:sp macro="" textlink="">
      <xdr:nvSpPr>
        <xdr:cNvPr id="72" name="正方形/長方形 71"/>
        <xdr:cNvSpPr/>
      </xdr:nvSpPr>
      <xdr:spPr>
        <a:xfrm>
          <a:off x="34918769" y="155823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58</xdr:col>
      <xdr:colOff>81328</xdr:colOff>
      <xdr:row>7</xdr:row>
      <xdr:rowOff>32025</xdr:rowOff>
    </xdr:from>
    <xdr:to>
      <xdr:col>58</xdr:col>
      <xdr:colOff>551070</xdr:colOff>
      <xdr:row>8</xdr:row>
      <xdr:rowOff>133782</xdr:rowOff>
    </xdr:to>
    <xdr:sp macro="" textlink="">
      <xdr:nvSpPr>
        <xdr:cNvPr id="73" name="右中かっこ 72"/>
        <xdr:cNvSpPr/>
      </xdr:nvSpPr>
      <xdr:spPr>
        <a:xfrm rot="16200000" flipV="1">
          <a:off x="35488494" y="1090424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58</xdr:col>
      <xdr:colOff>140647</xdr:colOff>
      <xdr:row>6</xdr:row>
      <xdr:rowOff>43070</xdr:rowOff>
    </xdr:from>
    <xdr:ext cx="279298" cy="244930"/>
    <xdr:sp macro="" textlink="">
      <xdr:nvSpPr>
        <xdr:cNvPr id="74" name="正方形/長方形 73"/>
        <xdr:cNvSpPr/>
      </xdr:nvSpPr>
      <xdr:spPr>
        <a:xfrm>
          <a:off x="35446647" y="103698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59</xdr:col>
      <xdr:colOff>95685</xdr:colOff>
      <xdr:row>10</xdr:row>
      <xdr:rowOff>51903</xdr:rowOff>
    </xdr:from>
    <xdr:to>
      <xdr:col>59</xdr:col>
      <xdr:colOff>565427</xdr:colOff>
      <xdr:row>11</xdr:row>
      <xdr:rowOff>153660</xdr:rowOff>
    </xdr:to>
    <xdr:sp macro="" textlink="">
      <xdr:nvSpPr>
        <xdr:cNvPr id="75" name="右中かっこ 74"/>
        <xdr:cNvSpPr/>
      </xdr:nvSpPr>
      <xdr:spPr>
        <a:xfrm rot="16200000" flipV="1">
          <a:off x="36110242" y="1607259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155004</xdr:colOff>
      <xdr:row>9</xdr:row>
      <xdr:rowOff>62948</xdr:rowOff>
    </xdr:from>
    <xdr:ext cx="279298" cy="244930"/>
    <xdr:sp macro="" textlink="">
      <xdr:nvSpPr>
        <xdr:cNvPr id="76" name="正方形/長方形 75"/>
        <xdr:cNvSpPr/>
      </xdr:nvSpPr>
      <xdr:spPr>
        <a:xfrm>
          <a:off x="36068395" y="1553818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65866</xdr:colOff>
      <xdr:row>12</xdr:row>
      <xdr:rowOff>121477</xdr:rowOff>
    </xdr:from>
    <xdr:to>
      <xdr:col>60</xdr:col>
      <xdr:colOff>535608</xdr:colOff>
      <xdr:row>14</xdr:row>
      <xdr:rowOff>57582</xdr:rowOff>
    </xdr:to>
    <xdr:sp macro="" textlink="">
      <xdr:nvSpPr>
        <xdr:cNvPr id="77" name="右中かっこ 76"/>
        <xdr:cNvSpPr/>
      </xdr:nvSpPr>
      <xdr:spPr>
        <a:xfrm rot="16200000" flipV="1">
          <a:off x="36687815" y="2008137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125185</xdr:colOff>
      <xdr:row>11</xdr:row>
      <xdr:rowOff>132522</xdr:rowOff>
    </xdr:from>
    <xdr:ext cx="279298" cy="244930"/>
    <xdr:sp macro="" textlink="">
      <xdr:nvSpPr>
        <xdr:cNvPr id="78" name="正方形/長方形 77"/>
        <xdr:cNvSpPr/>
      </xdr:nvSpPr>
      <xdr:spPr>
        <a:xfrm>
          <a:off x="36645968" y="1954696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19484</xdr:colOff>
      <xdr:row>10</xdr:row>
      <xdr:rowOff>47485</xdr:rowOff>
    </xdr:from>
    <xdr:to>
      <xdr:col>61</xdr:col>
      <xdr:colOff>489226</xdr:colOff>
      <xdr:row>11</xdr:row>
      <xdr:rowOff>149242</xdr:rowOff>
    </xdr:to>
    <xdr:sp macro="" textlink="">
      <xdr:nvSpPr>
        <xdr:cNvPr id="79" name="右中かっこ 78"/>
        <xdr:cNvSpPr/>
      </xdr:nvSpPr>
      <xdr:spPr>
        <a:xfrm rot="16200000" flipV="1">
          <a:off x="37248824" y="1602841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78803</xdr:colOff>
      <xdr:row>9</xdr:row>
      <xdr:rowOff>58530</xdr:rowOff>
    </xdr:from>
    <xdr:ext cx="279298" cy="244930"/>
    <xdr:sp macro="" textlink="">
      <xdr:nvSpPr>
        <xdr:cNvPr id="80" name="正方形/長方形 79"/>
        <xdr:cNvSpPr/>
      </xdr:nvSpPr>
      <xdr:spPr>
        <a:xfrm>
          <a:off x="37206977" y="154940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588222</xdr:colOff>
      <xdr:row>12</xdr:row>
      <xdr:rowOff>119268</xdr:rowOff>
    </xdr:from>
    <xdr:to>
      <xdr:col>62</xdr:col>
      <xdr:colOff>450573</xdr:colOff>
      <xdr:row>14</xdr:row>
      <xdr:rowOff>55373</xdr:rowOff>
    </xdr:to>
    <xdr:sp macro="" textlink="">
      <xdr:nvSpPr>
        <xdr:cNvPr id="81" name="右中かっこ 80"/>
        <xdr:cNvSpPr/>
      </xdr:nvSpPr>
      <xdr:spPr>
        <a:xfrm rot="16200000" flipV="1">
          <a:off x="37817562" y="2005928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40150</xdr:colOff>
      <xdr:row>11</xdr:row>
      <xdr:rowOff>130313</xdr:rowOff>
    </xdr:from>
    <xdr:ext cx="279298" cy="244930"/>
    <xdr:sp macro="" textlink="">
      <xdr:nvSpPr>
        <xdr:cNvPr id="82" name="正方形/長方形 81"/>
        <xdr:cNvSpPr/>
      </xdr:nvSpPr>
      <xdr:spPr>
        <a:xfrm>
          <a:off x="37775715" y="1952487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80896</xdr:colOff>
      <xdr:row>3</xdr:row>
      <xdr:rowOff>127431</xdr:rowOff>
    </xdr:from>
    <xdr:to>
      <xdr:col>61</xdr:col>
      <xdr:colOff>281609</xdr:colOff>
      <xdr:row>5</xdr:row>
      <xdr:rowOff>127000</xdr:rowOff>
    </xdr:to>
    <xdr:sp macro="" textlink="">
      <xdr:nvSpPr>
        <xdr:cNvPr id="83" name="右中かっこ 82"/>
        <xdr:cNvSpPr/>
      </xdr:nvSpPr>
      <xdr:spPr>
        <a:xfrm flipV="1">
          <a:off x="37209070" y="624388"/>
          <a:ext cx="200713" cy="33087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273169</xdr:colOff>
      <xdr:row>3</xdr:row>
      <xdr:rowOff>159027</xdr:rowOff>
    </xdr:from>
    <xdr:ext cx="300971" cy="244930"/>
    <xdr:sp macro="" textlink="">
      <xdr:nvSpPr>
        <xdr:cNvPr id="84" name="正方形/長方形 83"/>
        <xdr:cNvSpPr/>
      </xdr:nvSpPr>
      <xdr:spPr>
        <a:xfrm>
          <a:off x="37401343" y="655984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70</xdr:col>
      <xdr:colOff>14987</xdr:colOff>
      <xdr:row>3</xdr:row>
      <xdr:rowOff>94343</xdr:rowOff>
    </xdr:from>
    <xdr:to>
      <xdr:col>70</xdr:col>
      <xdr:colOff>24058</xdr:colOff>
      <xdr:row>5</xdr:row>
      <xdr:rowOff>112485</xdr:rowOff>
    </xdr:to>
    <xdr:cxnSp macro="">
      <xdr:nvCxnSpPr>
        <xdr:cNvPr id="85" name="直線コネクタ 84"/>
        <xdr:cNvCxnSpPr/>
      </xdr:nvCxnSpPr>
      <xdr:spPr>
        <a:xfrm flipH="1">
          <a:off x="42641630" y="584200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13174</xdr:colOff>
      <xdr:row>3</xdr:row>
      <xdr:rowOff>110672</xdr:rowOff>
    </xdr:from>
    <xdr:to>
      <xdr:col>73</xdr:col>
      <xdr:colOff>395987</xdr:colOff>
      <xdr:row>3</xdr:row>
      <xdr:rowOff>112486</xdr:rowOff>
    </xdr:to>
    <xdr:cxnSp macro="">
      <xdr:nvCxnSpPr>
        <xdr:cNvPr id="86" name="直線コネクタ 85"/>
        <xdr:cNvCxnSpPr/>
      </xdr:nvCxnSpPr>
      <xdr:spPr>
        <a:xfrm flipH="1" flipV="1">
          <a:off x="42639817" y="600529"/>
          <a:ext cx="2206170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385102</xdr:colOff>
      <xdr:row>3</xdr:row>
      <xdr:rowOff>92529</xdr:rowOff>
    </xdr:from>
    <xdr:to>
      <xdr:col>73</xdr:col>
      <xdr:colOff>394173</xdr:colOff>
      <xdr:row>5</xdr:row>
      <xdr:rowOff>110671</xdr:rowOff>
    </xdr:to>
    <xdr:cxnSp macro="">
      <xdr:nvCxnSpPr>
        <xdr:cNvPr id="88" name="直線コネクタ 87"/>
        <xdr:cNvCxnSpPr/>
      </xdr:nvCxnSpPr>
      <xdr:spPr>
        <a:xfrm flipH="1">
          <a:off x="44835102" y="582386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475816</xdr:colOff>
      <xdr:row>5</xdr:row>
      <xdr:rowOff>101600</xdr:rowOff>
    </xdr:from>
    <xdr:to>
      <xdr:col>70</xdr:col>
      <xdr:colOff>484887</xdr:colOff>
      <xdr:row>7</xdr:row>
      <xdr:rowOff>119743</xdr:rowOff>
    </xdr:to>
    <xdr:cxnSp macro="">
      <xdr:nvCxnSpPr>
        <xdr:cNvPr id="89" name="直線コネクタ 88"/>
        <xdr:cNvCxnSpPr/>
      </xdr:nvCxnSpPr>
      <xdr:spPr>
        <a:xfrm flipH="1">
          <a:off x="43102459" y="918029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483075</xdr:colOff>
      <xdr:row>5</xdr:row>
      <xdr:rowOff>99786</xdr:rowOff>
    </xdr:from>
    <xdr:to>
      <xdr:col>75</xdr:col>
      <xdr:colOff>259916</xdr:colOff>
      <xdr:row>5</xdr:row>
      <xdr:rowOff>121557</xdr:rowOff>
    </xdr:to>
    <xdr:cxnSp macro="">
      <xdr:nvCxnSpPr>
        <xdr:cNvPr id="90" name="直線コネクタ 89"/>
        <xdr:cNvCxnSpPr/>
      </xdr:nvCxnSpPr>
      <xdr:spPr>
        <a:xfrm flipH="1" flipV="1">
          <a:off x="43109718" y="916215"/>
          <a:ext cx="2815769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223630</xdr:colOff>
      <xdr:row>5</xdr:row>
      <xdr:rowOff>83456</xdr:rowOff>
    </xdr:from>
    <xdr:to>
      <xdr:col>75</xdr:col>
      <xdr:colOff>249031</xdr:colOff>
      <xdr:row>7</xdr:row>
      <xdr:rowOff>103414</xdr:rowOff>
    </xdr:to>
    <xdr:cxnSp macro="">
      <xdr:nvCxnSpPr>
        <xdr:cNvPr id="91" name="直線コネクタ 90"/>
        <xdr:cNvCxnSpPr/>
      </xdr:nvCxnSpPr>
      <xdr:spPr>
        <a:xfrm flipH="1">
          <a:off x="45889201" y="899885"/>
          <a:ext cx="25401" cy="3465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68</xdr:col>
      <xdr:colOff>0</xdr:colOff>
      <xdr:row>3</xdr:row>
      <xdr:rowOff>39915</xdr:rowOff>
    </xdr:from>
    <xdr:ext cx="466794" cy="275717"/>
    <xdr:sp macro="" textlink="">
      <xdr:nvSpPr>
        <xdr:cNvPr id="98" name="正方形/長方形 97"/>
        <xdr:cNvSpPr/>
      </xdr:nvSpPr>
      <xdr:spPr>
        <a:xfrm>
          <a:off x="41411071" y="5297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68</xdr:col>
      <xdr:colOff>131102</xdr:colOff>
      <xdr:row>6</xdr:row>
      <xdr:rowOff>19958</xdr:rowOff>
    </xdr:from>
    <xdr:ext cx="466794" cy="275717"/>
    <xdr:sp macro="" textlink="">
      <xdr:nvSpPr>
        <xdr:cNvPr id="99" name="正方形/長方形 98"/>
        <xdr:cNvSpPr/>
      </xdr:nvSpPr>
      <xdr:spPr>
        <a:xfrm>
          <a:off x="41542173" y="9996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twoCellAnchor>
    <xdr:from>
      <xdr:col>74</xdr:col>
      <xdr:colOff>334303</xdr:colOff>
      <xdr:row>3</xdr:row>
      <xdr:rowOff>29029</xdr:rowOff>
    </xdr:from>
    <xdr:to>
      <xdr:col>74</xdr:col>
      <xdr:colOff>357886</xdr:colOff>
      <xdr:row>5</xdr:row>
      <xdr:rowOff>96157</xdr:rowOff>
    </xdr:to>
    <xdr:cxnSp macro="">
      <xdr:nvCxnSpPr>
        <xdr:cNvPr id="105" name="直線コネクタ 104"/>
        <xdr:cNvCxnSpPr/>
      </xdr:nvCxnSpPr>
      <xdr:spPr>
        <a:xfrm flipH="1">
          <a:off x="45392089" y="518886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366961</xdr:colOff>
      <xdr:row>5</xdr:row>
      <xdr:rowOff>83457</xdr:rowOff>
    </xdr:from>
    <xdr:to>
      <xdr:col>74</xdr:col>
      <xdr:colOff>348815</xdr:colOff>
      <xdr:row>5</xdr:row>
      <xdr:rowOff>92529</xdr:rowOff>
    </xdr:to>
    <xdr:cxnSp macro="">
      <xdr:nvCxnSpPr>
        <xdr:cNvPr id="106" name="直線コネクタ 105"/>
        <xdr:cNvCxnSpPr/>
      </xdr:nvCxnSpPr>
      <xdr:spPr>
        <a:xfrm flipH="1">
          <a:off x="44816961" y="8998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319788</xdr:colOff>
      <xdr:row>3</xdr:row>
      <xdr:rowOff>63500</xdr:rowOff>
    </xdr:from>
    <xdr:to>
      <xdr:col>76</xdr:col>
      <xdr:colOff>296201</xdr:colOff>
      <xdr:row>3</xdr:row>
      <xdr:rowOff>85272</xdr:rowOff>
    </xdr:to>
    <xdr:cxnSp macro="">
      <xdr:nvCxnSpPr>
        <xdr:cNvPr id="109" name="直線コネクタ 108"/>
        <xdr:cNvCxnSpPr/>
      </xdr:nvCxnSpPr>
      <xdr:spPr>
        <a:xfrm flipH="1" flipV="1">
          <a:off x="45377574" y="553357"/>
          <a:ext cx="119198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227260</xdr:colOff>
      <xdr:row>7</xdr:row>
      <xdr:rowOff>76200</xdr:rowOff>
    </xdr:from>
    <xdr:to>
      <xdr:col>76</xdr:col>
      <xdr:colOff>323416</xdr:colOff>
      <xdr:row>7</xdr:row>
      <xdr:rowOff>97971</xdr:rowOff>
    </xdr:to>
    <xdr:cxnSp macro="">
      <xdr:nvCxnSpPr>
        <xdr:cNvPr id="115" name="直線コネクタ 114"/>
        <xdr:cNvCxnSpPr/>
      </xdr:nvCxnSpPr>
      <xdr:spPr>
        <a:xfrm flipH="1">
          <a:off x="45892831" y="1219200"/>
          <a:ext cx="703942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171017</xdr:colOff>
      <xdr:row>7</xdr:row>
      <xdr:rowOff>105228</xdr:rowOff>
    </xdr:from>
    <xdr:to>
      <xdr:col>70</xdr:col>
      <xdr:colOff>486701</xdr:colOff>
      <xdr:row>7</xdr:row>
      <xdr:rowOff>112486</xdr:rowOff>
    </xdr:to>
    <xdr:cxnSp macro="">
      <xdr:nvCxnSpPr>
        <xdr:cNvPr id="116" name="直線コネクタ 115"/>
        <xdr:cNvCxnSpPr/>
      </xdr:nvCxnSpPr>
      <xdr:spPr>
        <a:xfrm flipH="1" flipV="1">
          <a:off x="42189874" y="1248228"/>
          <a:ext cx="923470" cy="72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102076</xdr:colOff>
      <xdr:row>5</xdr:row>
      <xdr:rowOff>81643</xdr:rowOff>
    </xdr:from>
    <xdr:to>
      <xdr:col>70</xdr:col>
      <xdr:colOff>83930</xdr:colOff>
      <xdr:row>5</xdr:row>
      <xdr:rowOff>90715</xdr:rowOff>
    </xdr:to>
    <xdr:cxnSp macro="">
      <xdr:nvCxnSpPr>
        <xdr:cNvPr id="117" name="直線コネクタ 116"/>
        <xdr:cNvCxnSpPr/>
      </xdr:nvCxnSpPr>
      <xdr:spPr>
        <a:xfrm flipH="1">
          <a:off x="42120933" y="898072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148298</xdr:colOff>
      <xdr:row>3</xdr:row>
      <xdr:rowOff>145615</xdr:rowOff>
    </xdr:from>
    <xdr:to>
      <xdr:col>70</xdr:col>
      <xdr:colOff>10649</xdr:colOff>
      <xdr:row>5</xdr:row>
      <xdr:rowOff>84086</xdr:rowOff>
    </xdr:to>
    <xdr:sp macro="" textlink="">
      <xdr:nvSpPr>
        <xdr:cNvPr id="119" name="右中かっこ 118"/>
        <xdr:cNvSpPr/>
      </xdr:nvSpPr>
      <xdr:spPr>
        <a:xfrm rot="16200000" flipV="1">
          <a:off x="42269702" y="532925"/>
          <a:ext cx="265043" cy="470137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596348</xdr:colOff>
      <xdr:row>2</xdr:row>
      <xdr:rowOff>7730</xdr:rowOff>
    </xdr:from>
    <xdr:to>
      <xdr:col>70</xdr:col>
      <xdr:colOff>69180</xdr:colOff>
      <xdr:row>3</xdr:row>
      <xdr:rowOff>109486</xdr:rowOff>
    </xdr:to>
    <xdr:sp macro="" textlink="">
      <xdr:nvSpPr>
        <xdr:cNvPr id="120" name="右中かっこ 119"/>
        <xdr:cNvSpPr/>
      </xdr:nvSpPr>
      <xdr:spPr>
        <a:xfrm rot="16200000" flipV="1">
          <a:off x="42522993" y="426513"/>
          <a:ext cx="265042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69</xdr:col>
      <xdr:colOff>207617</xdr:colOff>
      <xdr:row>2</xdr:row>
      <xdr:rowOff>156660</xdr:rowOff>
    </xdr:from>
    <xdr:ext cx="279298" cy="244930"/>
    <xdr:sp macro="" textlink="">
      <xdr:nvSpPr>
        <xdr:cNvPr id="121" name="正方形/長方形 120"/>
        <xdr:cNvSpPr/>
      </xdr:nvSpPr>
      <xdr:spPr>
        <a:xfrm>
          <a:off x="42226474" y="483231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73</xdr:col>
      <xdr:colOff>362226</xdr:colOff>
      <xdr:row>2</xdr:row>
      <xdr:rowOff>0</xdr:rowOff>
    </xdr:from>
    <xdr:to>
      <xdr:col>73</xdr:col>
      <xdr:colOff>442844</xdr:colOff>
      <xdr:row>3</xdr:row>
      <xdr:rowOff>101756</xdr:rowOff>
    </xdr:to>
    <xdr:sp macro="" textlink="">
      <xdr:nvSpPr>
        <xdr:cNvPr id="122" name="右中かっこ 121"/>
        <xdr:cNvSpPr/>
      </xdr:nvSpPr>
      <xdr:spPr>
        <a:xfrm rot="16200000" flipV="1">
          <a:off x="44720014" y="418783"/>
          <a:ext cx="265042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599267</xdr:colOff>
      <xdr:row>6</xdr:row>
      <xdr:rowOff>7729</xdr:rowOff>
    </xdr:from>
    <xdr:to>
      <xdr:col>70</xdr:col>
      <xdr:colOff>461617</xdr:colOff>
      <xdr:row>7</xdr:row>
      <xdr:rowOff>109486</xdr:rowOff>
    </xdr:to>
    <xdr:sp macro="" textlink="">
      <xdr:nvSpPr>
        <xdr:cNvPr id="123" name="右中かっこ 122"/>
        <xdr:cNvSpPr/>
      </xdr:nvSpPr>
      <xdr:spPr>
        <a:xfrm rot="16200000" flipV="1">
          <a:off x="42720670" y="884897"/>
          <a:ext cx="265043" cy="47013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70</xdr:col>
      <xdr:colOff>50800</xdr:colOff>
      <xdr:row>5</xdr:row>
      <xdr:rowOff>18774</xdr:rowOff>
    </xdr:from>
    <xdr:ext cx="279298" cy="244930"/>
    <xdr:sp macro="" textlink="">
      <xdr:nvSpPr>
        <xdr:cNvPr id="124" name="正方形/長方形 123"/>
        <xdr:cNvSpPr/>
      </xdr:nvSpPr>
      <xdr:spPr>
        <a:xfrm>
          <a:off x="42677443" y="83520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74</xdr:col>
      <xdr:colOff>368025</xdr:colOff>
      <xdr:row>3</xdr:row>
      <xdr:rowOff>76631</xdr:rowOff>
    </xdr:from>
    <xdr:to>
      <xdr:col>74</xdr:col>
      <xdr:colOff>568738</xdr:colOff>
      <xdr:row>5</xdr:row>
      <xdr:rowOff>76200</xdr:rowOff>
    </xdr:to>
    <xdr:sp macro="" textlink="">
      <xdr:nvSpPr>
        <xdr:cNvPr id="137" name="右中かっこ 136"/>
        <xdr:cNvSpPr/>
      </xdr:nvSpPr>
      <xdr:spPr>
        <a:xfrm flipV="1">
          <a:off x="45425811" y="566488"/>
          <a:ext cx="200713" cy="32614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74</xdr:col>
      <xdr:colOff>560298</xdr:colOff>
      <xdr:row>3</xdr:row>
      <xdr:rowOff>108227</xdr:rowOff>
    </xdr:from>
    <xdr:ext cx="300971" cy="244930"/>
    <xdr:sp macro="" textlink="">
      <xdr:nvSpPr>
        <xdr:cNvPr id="138" name="正方形/長方形 137"/>
        <xdr:cNvSpPr/>
      </xdr:nvSpPr>
      <xdr:spPr>
        <a:xfrm>
          <a:off x="45618084" y="598084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72</xdr:col>
      <xdr:colOff>166914</xdr:colOff>
      <xdr:row>5</xdr:row>
      <xdr:rowOff>134889</xdr:rowOff>
    </xdr:from>
    <xdr:ext cx="324375" cy="244930"/>
    <xdr:sp macro="" textlink="">
      <xdr:nvSpPr>
        <xdr:cNvPr id="139" name="正方形/長方形 138"/>
        <xdr:cNvSpPr/>
      </xdr:nvSpPr>
      <xdr:spPr>
        <a:xfrm>
          <a:off x="44009128" y="951318"/>
          <a:ext cx="324375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T_m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335643</xdr:colOff>
      <xdr:row>3</xdr:row>
      <xdr:rowOff>145143</xdr:rowOff>
    </xdr:from>
    <xdr:to>
      <xdr:col>57</xdr:col>
      <xdr:colOff>344714</xdr:colOff>
      <xdr:row>6</xdr:row>
      <xdr:rowOff>0</xdr:rowOff>
    </xdr:to>
    <xdr:cxnSp macro="">
      <xdr:nvCxnSpPr>
        <xdr:cNvPr id="2" name="直線コネクタ 1"/>
        <xdr:cNvCxnSpPr/>
      </xdr:nvCxnSpPr>
      <xdr:spPr>
        <a:xfrm flipH="1">
          <a:off x="34549443" y="640443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333830</xdr:colOff>
      <xdr:row>3</xdr:row>
      <xdr:rowOff>161472</xdr:rowOff>
    </xdr:from>
    <xdr:to>
      <xdr:col>61</xdr:col>
      <xdr:colOff>108857</xdr:colOff>
      <xdr:row>4</xdr:row>
      <xdr:rowOff>0</xdr:rowOff>
    </xdr:to>
    <xdr:cxnSp macro="">
      <xdr:nvCxnSpPr>
        <xdr:cNvPr id="3" name="直線コネクタ 2"/>
        <xdr:cNvCxnSpPr/>
      </xdr:nvCxnSpPr>
      <xdr:spPr>
        <a:xfrm flipH="1" flipV="1">
          <a:off x="34547630" y="656772"/>
          <a:ext cx="2213427" cy="362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206829</xdr:colOff>
      <xdr:row>12</xdr:row>
      <xdr:rowOff>27214</xdr:rowOff>
    </xdr:from>
    <xdr:to>
      <xdr:col>58</xdr:col>
      <xdr:colOff>235856</xdr:colOff>
      <xdr:row>14</xdr:row>
      <xdr:rowOff>88900</xdr:rowOff>
    </xdr:to>
    <xdr:cxnSp macro="">
      <xdr:nvCxnSpPr>
        <xdr:cNvPr id="4" name="直線コネクタ 3"/>
        <xdr:cNvCxnSpPr/>
      </xdr:nvCxnSpPr>
      <xdr:spPr>
        <a:xfrm flipH="1">
          <a:off x="35030229" y="2008414"/>
          <a:ext cx="29027" cy="391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97972</xdr:colOff>
      <xdr:row>3</xdr:row>
      <xdr:rowOff>143329</xdr:rowOff>
    </xdr:from>
    <xdr:to>
      <xdr:col>61</xdr:col>
      <xdr:colOff>107043</xdr:colOff>
      <xdr:row>5</xdr:row>
      <xdr:rowOff>161471</xdr:rowOff>
    </xdr:to>
    <xdr:cxnSp macro="">
      <xdr:nvCxnSpPr>
        <xdr:cNvPr id="5" name="直線コネクタ 4"/>
        <xdr:cNvCxnSpPr/>
      </xdr:nvCxnSpPr>
      <xdr:spPr>
        <a:xfrm flipH="1">
          <a:off x="36750172" y="638629"/>
          <a:ext cx="9071" cy="3483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188686</xdr:colOff>
      <xdr:row>5</xdr:row>
      <xdr:rowOff>152400</xdr:rowOff>
    </xdr:from>
    <xdr:to>
      <xdr:col>58</xdr:col>
      <xdr:colOff>197757</xdr:colOff>
      <xdr:row>8</xdr:row>
      <xdr:rowOff>7257</xdr:rowOff>
    </xdr:to>
    <xdr:cxnSp macro="">
      <xdr:nvCxnSpPr>
        <xdr:cNvPr id="6" name="直線コネクタ 5"/>
        <xdr:cNvCxnSpPr/>
      </xdr:nvCxnSpPr>
      <xdr:spPr>
        <a:xfrm flipH="1">
          <a:off x="35012086" y="977900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195945</xdr:colOff>
      <xdr:row>5</xdr:row>
      <xdr:rowOff>150586</xdr:rowOff>
    </xdr:from>
    <xdr:to>
      <xdr:col>62</xdr:col>
      <xdr:colOff>580572</xdr:colOff>
      <xdr:row>6</xdr:row>
      <xdr:rowOff>9072</xdr:rowOff>
    </xdr:to>
    <xdr:cxnSp macro="">
      <xdr:nvCxnSpPr>
        <xdr:cNvPr id="7" name="直線コネクタ 6"/>
        <xdr:cNvCxnSpPr/>
      </xdr:nvCxnSpPr>
      <xdr:spPr>
        <a:xfrm flipH="1" flipV="1">
          <a:off x="35019345" y="976086"/>
          <a:ext cx="2823027" cy="235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544286</xdr:colOff>
      <xdr:row>5</xdr:row>
      <xdr:rowOff>134256</xdr:rowOff>
    </xdr:from>
    <xdr:to>
      <xdr:col>62</xdr:col>
      <xdr:colOff>569687</xdr:colOff>
      <xdr:row>7</xdr:row>
      <xdr:rowOff>154214</xdr:rowOff>
    </xdr:to>
    <xdr:cxnSp macro="">
      <xdr:nvCxnSpPr>
        <xdr:cNvPr id="8" name="直線コネクタ 7"/>
        <xdr:cNvCxnSpPr/>
      </xdr:nvCxnSpPr>
      <xdr:spPr>
        <a:xfrm flipH="1">
          <a:off x="37806086" y="959756"/>
          <a:ext cx="25401" cy="350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5444</xdr:colOff>
      <xdr:row>8</xdr:row>
      <xdr:rowOff>159657</xdr:rowOff>
    </xdr:from>
    <xdr:to>
      <xdr:col>59</xdr:col>
      <xdr:colOff>14515</xdr:colOff>
      <xdr:row>11</xdr:row>
      <xdr:rowOff>14514</xdr:rowOff>
    </xdr:to>
    <xdr:cxnSp macro="">
      <xdr:nvCxnSpPr>
        <xdr:cNvPr id="9" name="直線コネクタ 8"/>
        <xdr:cNvCxnSpPr/>
      </xdr:nvCxnSpPr>
      <xdr:spPr>
        <a:xfrm flipH="1">
          <a:off x="35438444" y="1480457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12703</xdr:colOff>
      <xdr:row>8</xdr:row>
      <xdr:rowOff>154214</xdr:rowOff>
    </xdr:from>
    <xdr:to>
      <xdr:col>60</xdr:col>
      <xdr:colOff>9071</xdr:colOff>
      <xdr:row>8</xdr:row>
      <xdr:rowOff>157843</xdr:rowOff>
    </xdr:to>
    <xdr:cxnSp macro="">
      <xdr:nvCxnSpPr>
        <xdr:cNvPr id="10" name="直線コネクタ 9"/>
        <xdr:cNvCxnSpPr/>
      </xdr:nvCxnSpPr>
      <xdr:spPr>
        <a:xfrm flipH="1">
          <a:off x="35445703" y="1475014"/>
          <a:ext cx="605968" cy="36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589643</xdr:colOff>
      <xdr:row>8</xdr:row>
      <xdr:rowOff>150585</xdr:rowOff>
    </xdr:from>
    <xdr:to>
      <xdr:col>59</xdr:col>
      <xdr:colOff>604159</xdr:colOff>
      <xdr:row>11</xdr:row>
      <xdr:rowOff>9071</xdr:rowOff>
    </xdr:to>
    <xdr:cxnSp macro="">
      <xdr:nvCxnSpPr>
        <xdr:cNvPr id="11" name="直線コネクタ 10"/>
        <xdr:cNvCxnSpPr/>
      </xdr:nvCxnSpPr>
      <xdr:spPr>
        <a:xfrm flipH="1">
          <a:off x="36022643" y="1471385"/>
          <a:ext cx="14516" cy="3537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604158</xdr:colOff>
      <xdr:row>12</xdr:row>
      <xdr:rowOff>7257</xdr:rowOff>
    </xdr:from>
    <xdr:to>
      <xdr:col>59</xdr:col>
      <xdr:colOff>25400</xdr:colOff>
      <xdr:row>14</xdr:row>
      <xdr:rowOff>68943</xdr:rowOff>
    </xdr:to>
    <xdr:cxnSp macro="">
      <xdr:nvCxnSpPr>
        <xdr:cNvPr id="12" name="直線コネクタ 11"/>
        <xdr:cNvCxnSpPr/>
      </xdr:nvCxnSpPr>
      <xdr:spPr>
        <a:xfrm flipH="1">
          <a:off x="35427558" y="1988457"/>
          <a:ext cx="30842" cy="391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593274</xdr:colOff>
      <xdr:row>11</xdr:row>
      <xdr:rowOff>127000</xdr:rowOff>
    </xdr:from>
    <xdr:to>
      <xdr:col>60</xdr:col>
      <xdr:colOff>9071</xdr:colOff>
      <xdr:row>14</xdr:row>
      <xdr:rowOff>30843</xdr:rowOff>
    </xdr:to>
    <xdr:cxnSp macro="">
      <xdr:nvCxnSpPr>
        <xdr:cNvPr id="13" name="直線コネクタ 12"/>
        <xdr:cNvCxnSpPr/>
      </xdr:nvCxnSpPr>
      <xdr:spPr>
        <a:xfrm flipH="1">
          <a:off x="36026274" y="1943100"/>
          <a:ext cx="25397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210460</xdr:colOff>
      <xdr:row>12</xdr:row>
      <xdr:rowOff>0</xdr:rowOff>
    </xdr:from>
    <xdr:to>
      <xdr:col>59</xdr:col>
      <xdr:colOff>45357</xdr:colOff>
      <xdr:row>12</xdr:row>
      <xdr:rowOff>10886</xdr:rowOff>
    </xdr:to>
    <xdr:cxnSp macro="">
      <xdr:nvCxnSpPr>
        <xdr:cNvPr id="14" name="直線コネクタ 13"/>
        <xdr:cNvCxnSpPr/>
      </xdr:nvCxnSpPr>
      <xdr:spPr>
        <a:xfrm flipH="1">
          <a:off x="35033860" y="1981200"/>
          <a:ext cx="444497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55</xdr:col>
      <xdr:colOff>320656</xdr:colOff>
      <xdr:row>3</xdr:row>
      <xdr:rowOff>90715</xdr:rowOff>
    </xdr:from>
    <xdr:ext cx="466794" cy="275717"/>
    <xdr:sp macro="" textlink="">
      <xdr:nvSpPr>
        <xdr:cNvPr id="15" name="正方形/長方形 14"/>
        <xdr:cNvSpPr/>
      </xdr:nvSpPr>
      <xdr:spPr>
        <a:xfrm>
          <a:off x="33315256" y="586015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55</xdr:col>
      <xdr:colOff>451758</xdr:colOff>
      <xdr:row>6</xdr:row>
      <xdr:rowOff>70758</xdr:rowOff>
    </xdr:from>
    <xdr:ext cx="466794" cy="275717"/>
    <xdr:sp macro="" textlink="">
      <xdr:nvSpPr>
        <xdr:cNvPr id="16" name="正方形/長方形 15"/>
        <xdr:cNvSpPr/>
      </xdr:nvSpPr>
      <xdr:spPr>
        <a:xfrm>
          <a:off x="33446358" y="1061358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55</xdr:col>
      <xdr:colOff>440872</xdr:colOff>
      <xdr:row>9</xdr:row>
      <xdr:rowOff>14515</xdr:rowOff>
    </xdr:from>
    <xdr:ext cx="344390" cy="264560"/>
    <xdr:sp macro="" textlink="">
      <xdr:nvSpPr>
        <xdr:cNvPr id="17" name="正方形/長方形 16"/>
        <xdr:cNvSpPr/>
      </xdr:nvSpPr>
      <xdr:spPr>
        <a:xfrm>
          <a:off x="33435472" y="1500415"/>
          <a:ext cx="344390" cy="264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100"/>
            <a:t>PD</a:t>
          </a:r>
          <a:endParaRPr kumimoji="1" lang="ja-JP" altLang="en-US" sz="1100"/>
        </a:p>
      </xdr:txBody>
    </xdr:sp>
    <xdr:clientData/>
  </xdr:oneCellAnchor>
  <xdr:oneCellAnchor>
    <xdr:from>
      <xdr:col>55</xdr:col>
      <xdr:colOff>422729</xdr:colOff>
      <xdr:row>12</xdr:row>
      <xdr:rowOff>129145</xdr:rowOff>
    </xdr:from>
    <xdr:ext cx="466794" cy="275717"/>
    <xdr:sp macro="" textlink="">
      <xdr:nvSpPr>
        <xdr:cNvPr id="18" name="正方形/長方形 17"/>
        <xdr:cNvSpPr/>
      </xdr:nvSpPr>
      <xdr:spPr>
        <a:xfrm>
          <a:off x="33417329" y="2110345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出力</a:t>
          </a:r>
        </a:p>
      </xdr:txBody>
    </xdr:sp>
    <xdr:clientData/>
  </xdr:oneCellAnchor>
  <xdr:twoCellAnchor>
    <xdr:from>
      <xdr:col>59</xdr:col>
      <xdr:colOff>18146</xdr:colOff>
      <xdr:row>14</xdr:row>
      <xdr:rowOff>18143</xdr:rowOff>
    </xdr:from>
    <xdr:to>
      <xdr:col>60</xdr:col>
      <xdr:colOff>0</xdr:colOff>
      <xdr:row>14</xdr:row>
      <xdr:rowOff>27215</xdr:rowOff>
    </xdr:to>
    <xdr:cxnSp macro="">
      <xdr:nvCxnSpPr>
        <xdr:cNvPr id="19" name="直線コネクタ 18"/>
        <xdr:cNvCxnSpPr/>
      </xdr:nvCxnSpPr>
      <xdr:spPr>
        <a:xfrm flipH="1">
          <a:off x="35451146" y="2329543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58</xdr:col>
      <xdr:colOff>330200</xdr:colOff>
      <xdr:row>21</xdr:row>
      <xdr:rowOff>112485</xdr:rowOff>
    </xdr:from>
    <xdr:ext cx="854145" cy="459100"/>
    <xdr:sp macro="" textlink="">
      <xdr:nvSpPr>
        <xdr:cNvPr id="20" name="正方形/長方形 19"/>
        <xdr:cNvSpPr/>
      </xdr:nvSpPr>
      <xdr:spPr>
        <a:xfrm>
          <a:off x="35153600" y="3579585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oneCellAnchor>
    <xdr:from>
      <xdr:col>57</xdr:col>
      <xdr:colOff>92529</xdr:colOff>
      <xdr:row>15</xdr:row>
      <xdr:rowOff>1814</xdr:rowOff>
    </xdr:from>
    <xdr:ext cx="854145" cy="459100"/>
    <xdr:sp macro="" textlink="">
      <xdr:nvSpPr>
        <xdr:cNvPr id="21" name="正方形/長方形 20"/>
        <xdr:cNvSpPr/>
      </xdr:nvSpPr>
      <xdr:spPr>
        <a:xfrm>
          <a:off x="34306329" y="2478314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59</xdr:col>
      <xdr:colOff>264887</xdr:colOff>
      <xdr:row>21</xdr:row>
      <xdr:rowOff>128814</xdr:rowOff>
    </xdr:from>
    <xdr:ext cx="854145" cy="447943"/>
    <xdr:sp macro="" textlink="">
      <xdr:nvSpPr>
        <xdr:cNvPr id="22" name="正方形/長方形 21"/>
        <xdr:cNvSpPr/>
      </xdr:nvSpPr>
      <xdr:spPr>
        <a:xfrm>
          <a:off x="35697887" y="3595914"/>
          <a:ext cx="854145" cy="4479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twoCellAnchor>
    <xdr:from>
      <xdr:col>60</xdr:col>
      <xdr:colOff>34475</xdr:colOff>
      <xdr:row>11</xdr:row>
      <xdr:rowOff>152400</xdr:rowOff>
    </xdr:from>
    <xdr:to>
      <xdr:col>61</xdr:col>
      <xdr:colOff>16329</xdr:colOff>
      <xdr:row>11</xdr:row>
      <xdr:rowOff>161472</xdr:rowOff>
    </xdr:to>
    <xdr:cxnSp macro="">
      <xdr:nvCxnSpPr>
        <xdr:cNvPr id="23" name="直線コネクタ 22"/>
        <xdr:cNvCxnSpPr/>
      </xdr:nvCxnSpPr>
      <xdr:spPr>
        <a:xfrm flipH="1">
          <a:off x="36077075" y="1968500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600531</xdr:colOff>
      <xdr:row>11</xdr:row>
      <xdr:rowOff>143329</xdr:rowOff>
    </xdr:from>
    <xdr:to>
      <xdr:col>61</xdr:col>
      <xdr:colOff>16328</xdr:colOff>
      <xdr:row>14</xdr:row>
      <xdr:rowOff>47172</xdr:rowOff>
    </xdr:to>
    <xdr:cxnSp macro="">
      <xdr:nvCxnSpPr>
        <xdr:cNvPr id="24" name="直線コネクタ 23"/>
        <xdr:cNvCxnSpPr/>
      </xdr:nvCxnSpPr>
      <xdr:spPr>
        <a:xfrm flipH="1">
          <a:off x="36643131" y="1959429"/>
          <a:ext cx="25397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62</xdr:col>
      <xdr:colOff>181430</xdr:colOff>
      <xdr:row>15</xdr:row>
      <xdr:rowOff>18143</xdr:rowOff>
    </xdr:from>
    <xdr:ext cx="854145" cy="459100"/>
    <xdr:sp macro="" textlink="">
      <xdr:nvSpPr>
        <xdr:cNvPr id="25" name="正方形/長方形 24"/>
        <xdr:cNvSpPr/>
      </xdr:nvSpPr>
      <xdr:spPr>
        <a:xfrm>
          <a:off x="37443230" y="2494643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60</xdr:col>
      <xdr:colOff>119743</xdr:colOff>
      <xdr:row>18</xdr:row>
      <xdr:rowOff>38099</xdr:rowOff>
    </xdr:from>
    <xdr:ext cx="854145" cy="459100"/>
    <xdr:sp macro="" textlink="">
      <xdr:nvSpPr>
        <xdr:cNvPr id="26" name="正方形/長方形 25"/>
        <xdr:cNvSpPr/>
      </xdr:nvSpPr>
      <xdr:spPr>
        <a:xfrm>
          <a:off x="36162343" y="3009899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62</xdr:col>
      <xdr:colOff>47174</xdr:colOff>
      <xdr:row>3</xdr:row>
      <xdr:rowOff>79829</xdr:rowOff>
    </xdr:from>
    <xdr:to>
      <xdr:col>62</xdr:col>
      <xdr:colOff>70757</xdr:colOff>
      <xdr:row>5</xdr:row>
      <xdr:rowOff>146957</xdr:rowOff>
    </xdr:to>
    <xdr:cxnSp macro="">
      <xdr:nvCxnSpPr>
        <xdr:cNvPr id="27" name="直線コネクタ 26"/>
        <xdr:cNvCxnSpPr/>
      </xdr:nvCxnSpPr>
      <xdr:spPr>
        <a:xfrm flipH="1">
          <a:off x="37308974" y="575129"/>
          <a:ext cx="23583" cy="39732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79831</xdr:colOff>
      <xdr:row>5</xdr:row>
      <xdr:rowOff>134257</xdr:rowOff>
    </xdr:from>
    <xdr:to>
      <xdr:col>62</xdr:col>
      <xdr:colOff>61686</xdr:colOff>
      <xdr:row>5</xdr:row>
      <xdr:rowOff>143329</xdr:rowOff>
    </xdr:to>
    <xdr:cxnSp macro="">
      <xdr:nvCxnSpPr>
        <xdr:cNvPr id="28" name="直線コネクタ 27"/>
        <xdr:cNvCxnSpPr/>
      </xdr:nvCxnSpPr>
      <xdr:spPr>
        <a:xfrm flipH="1">
          <a:off x="36732031" y="959757"/>
          <a:ext cx="591455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217714</xdr:colOff>
      <xdr:row>18</xdr:row>
      <xdr:rowOff>18143</xdr:rowOff>
    </xdr:from>
    <xdr:ext cx="854145" cy="459100"/>
    <xdr:sp macro="" textlink="">
      <xdr:nvSpPr>
        <xdr:cNvPr id="29" name="正方形/長方形 28"/>
        <xdr:cNvSpPr/>
      </xdr:nvSpPr>
      <xdr:spPr>
        <a:xfrm>
          <a:off x="36869914" y="2989943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61</xdr:col>
      <xdr:colOff>571502</xdr:colOff>
      <xdr:row>11</xdr:row>
      <xdr:rowOff>159657</xdr:rowOff>
    </xdr:from>
    <xdr:to>
      <xdr:col>61</xdr:col>
      <xdr:colOff>595085</xdr:colOff>
      <xdr:row>14</xdr:row>
      <xdr:rowOff>63500</xdr:rowOff>
    </xdr:to>
    <xdr:cxnSp macro="">
      <xdr:nvCxnSpPr>
        <xdr:cNvPr id="30" name="直線コネクタ 29"/>
        <xdr:cNvCxnSpPr/>
      </xdr:nvCxnSpPr>
      <xdr:spPr>
        <a:xfrm flipH="1">
          <a:off x="37223702" y="1975757"/>
          <a:ext cx="23583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604160</xdr:colOff>
      <xdr:row>14</xdr:row>
      <xdr:rowOff>50800</xdr:rowOff>
    </xdr:from>
    <xdr:to>
      <xdr:col>61</xdr:col>
      <xdr:colOff>586014</xdr:colOff>
      <xdr:row>14</xdr:row>
      <xdr:rowOff>59872</xdr:rowOff>
    </xdr:to>
    <xdr:cxnSp macro="">
      <xdr:nvCxnSpPr>
        <xdr:cNvPr id="31" name="直線コネクタ 30"/>
        <xdr:cNvCxnSpPr/>
      </xdr:nvCxnSpPr>
      <xdr:spPr>
        <a:xfrm flipH="1">
          <a:off x="36646760" y="2362200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32659</xdr:colOff>
      <xdr:row>3</xdr:row>
      <xdr:rowOff>114300</xdr:rowOff>
    </xdr:from>
    <xdr:to>
      <xdr:col>64</xdr:col>
      <xdr:colOff>9071</xdr:colOff>
      <xdr:row>3</xdr:row>
      <xdr:rowOff>136072</xdr:rowOff>
    </xdr:to>
    <xdr:cxnSp macro="">
      <xdr:nvCxnSpPr>
        <xdr:cNvPr id="32" name="直線コネクタ 31"/>
        <xdr:cNvCxnSpPr/>
      </xdr:nvCxnSpPr>
      <xdr:spPr>
        <a:xfrm flipH="1" flipV="1">
          <a:off x="37294459" y="609600"/>
          <a:ext cx="1195612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567874</xdr:colOff>
      <xdr:row>12</xdr:row>
      <xdr:rowOff>32657</xdr:rowOff>
    </xdr:from>
    <xdr:to>
      <xdr:col>62</xdr:col>
      <xdr:colOff>549729</xdr:colOff>
      <xdr:row>12</xdr:row>
      <xdr:rowOff>41729</xdr:rowOff>
    </xdr:to>
    <xdr:cxnSp macro="">
      <xdr:nvCxnSpPr>
        <xdr:cNvPr id="33" name="直線コネクタ 32"/>
        <xdr:cNvCxnSpPr/>
      </xdr:nvCxnSpPr>
      <xdr:spPr>
        <a:xfrm flipH="1">
          <a:off x="37220074" y="2013857"/>
          <a:ext cx="591455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526145</xdr:colOff>
      <xdr:row>12</xdr:row>
      <xdr:rowOff>23586</xdr:rowOff>
    </xdr:from>
    <xdr:to>
      <xdr:col>62</xdr:col>
      <xdr:colOff>549728</xdr:colOff>
      <xdr:row>14</xdr:row>
      <xdr:rowOff>90715</xdr:rowOff>
    </xdr:to>
    <xdr:cxnSp macro="">
      <xdr:nvCxnSpPr>
        <xdr:cNvPr id="34" name="直線コネクタ 33"/>
        <xdr:cNvCxnSpPr/>
      </xdr:nvCxnSpPr>
      <xdr:spPr>
        <a:xfrm flipH="1">
          <a:off x="37787945" y="2004786"/>
          <a:ext cx="23583" cy="397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529774</xdr:colOff>
      <xdr:row>14</xdr:row>
      <xdr:rowOff>81643</xdr:rowOff>
    </xdr:from>
    <xdr:to>
      <xdr:col>64</xdr:col>
      <xdr:colOff>27214</xdr:colOff>
      <xdr:row>14</xdr:row>
      <xdr:rowOff>103415</xdr:rowOff>
    </xdr:to>
    <xdr:cxnSp macro="">
      <xdr:nvCxnSpPr>
        <xdr:cNvPr id="35" name="直線コネクタ 34"/>
        <xdr:cNvCxnSpPr/>
      </xdr:nvCxnSpPr>
      <xdr:spPr>
        <a:xfrm flipH="1">
          <a:off x="37791574" y="2393043"/>
          <a:ext cx="716640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402775</xdr:colOff>
      <xdr:row>11</xdr:row>
      <xdr:rowOff>0</xdr:rowOff>
    </xdr:from>
    <xdr:to>
      <xdr:col>59</xdr:col>
      <xdr:colOff>27215</xdr:colOff>
      <xdr:row>11</xdr:row>
      <xdr:rowOff>3630</xdr:rowOff>
    </xdr:to>
    <xdr:cxnSp macro="">
      <xdr:nvCxnSpPr>
        <xdr:cNvPr id="36" name="直線コネクタ 35"/>
        <xdr:cNvCxnSpPr/>
      </xdr:nvCxnSpPr>
      <xdr:spPr>
        <a:xfrm flipH="1">
          <a:off x="34006975" y="1816100"/>
          <a:ext cx="1453240" cy="36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573319</xdr:colOff>
      <xdr:row>11</xdr:row>
      <xdr:rowOff>1817</xdr:rowOff>
    </xdr:from>
    <xdr:to>
      <xdr:col>64</xdr:col>
      <xdr:colOff>27214</xdr:colOff>
      <xdr:row>11</xdr:row>
      <xdr:rowOff>18143</xdr:rowOff>
    </xdr:to>
    <xdr:cxnSp macro="">
      <xdr:nvCxnSpPr>
        <xdr:cNvPr id="37" name="直線コネクタ 36"/>
        <xdr:cNvCxnSpPr/>
      </xdr:nvCxnSpPr>
      <xdr:spPr>
        <a:xfrm flipH="1" flipV="1">
          <a:off x="36006319" y="1817917"/>
          <a:ext cx="2501895" cy="163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547916</xdr:colOff>
      <xdr:row>7</xdr:row>
      <xdr:rowOff>127000</xdr:rowOff>
    </xdr:from>
    <xdr:to>
      <xdr:col>64</xdr:col>
      <xdr:colOff>36286</xdr:colOff>
      <xdr:row>7</xdr:row>
      <xdr:rowOff>148771</xdr:rowOff>
    </xdr:to>
    <xdr:cxnSp macro="">
      <xdr:nvCxnSpPr>
        <xdr:cNvPr id="38" name="直線コネクタ 37"/>
        <xdr:cNvCxnSpPr/>
      </xdr:nvCxnSpPr>
      <xdr:spPr>
        <a:xfrm flipH="1">
          <a:off x="37809716" y="1282700"/>
          <a:ext cx="707570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491673</xdr:colOff>
      <xdr:row>7</xdr:row>
      <xdr:rowOff>156028</xdr:rowOff>
    </xdr:from>
    <xdr:to>
      <xdr:col>58</xdr:col>
      <xdr:colOff>199571</xdr:colOff>
      <xdr:row>8</xdr:row>
      <xdr:rowOff>0</xdr:rowOff>
    </xdr:to>
    <xdr:cxnSp macro="">
      <xdr:nvCxnSpPr>
        <xdr:cNvPr id="39" name="直線コネクタ 38"/>
        <xdr:cNvCxnSpPr/>
      </xdr:nvCxnSpPr>
      <xdr:spPr>
        <a:xfrm flipH="1" flipV="1">
          <a:off x="34095873" y="1311728"/>
          <a:ext cx="927098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422732</xdr:colOff>
      <xdr:row>5</xdr:row>
      <xdr:rowOff>132443</xdr:rowOff>
    </xdr:from>
    <xdr:to>
      <xdr:col>57</xdr:col>
      <xdr:colOff>404586</xdr:colOff>
      <xdr:row>5</xdr:row>
      <xdr:rowOff>141515</xdr:rowOff>
    </xdr:to>
    <xdr:cxnSp macro="">
      <xdr:nvCxnSpPr>
        <xdr:cNvPr id="40" name="直線コネクタ 39"/>
        <xdr:cNvCxnSpPr/>
      </xdr:nvCxnSpPr>
      <xdr:spPr>
        <a:xfrm flipH="1">
          <a:off x="34026932" y="957943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607785</xdr:colOff>
      <xdr:row>7</xdr:row>
      <xdr:rowOff>9072</xdr:rowOff>
    </xdr:from>
    <xdr:to>
      <xdr:col>67</xdr:col>
      <xdr:colOff>7257</xdr:colOff>
      <xdr:row>8</xdr:row>
      <xdr:rowOff>7257</xdr:rowOff>
    </xdr:to>
    <xdr:cxnSp macro="">
      <xdr:nvCxnSpPr>
        <xdr:cNvPr id="41" name="直線コネクタ 40"/>
        <xdr:cNvCxnSpPr/>
      </xdr:nvCxnSpPr>
      <xdr:spPr>
        <a:xfrm>
          <a:off x="40307985" y="1164772"/>
          <a:ext cx="9072" cy="163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586017</xdr:colOff>
      <xdr:row>6</xdr:row>
      <xdr:rowOff>150587</xdr:rowOff>
    </xdr:from>
    <xdr:to>
      <xdr:col>67</xdr:col>
      <xdr:colOff>567871</xdr:colOff>
      <xdr:row>6</xdr:row>
      <xdr:rowOff>159659</xdr:rowOff>
    </xdr:to>
    <xdr:cxnSp macro="">
      <xdr:nvCxnSpPr>
        <xdr:cNvPr id="42" name="直線コネクタ 41"/>
        <xdr:cNvCxnSpPr/>
      </xdr:nvCxnSpPr>
      <xdr:spPr>
        <a:xfrm flipH="1">
          <a:off x="40286217" y="1141187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542471</xdr:colOff>
      <xdr:row>7</xdr:row>
      <xdr:rowOff>7258</xdr:rowOff>
    </xdr:from>
    <xdr:to>
      <xdr:col>67</xdr:col>
      <xdr:colOff>549729</xdr:colOff>
      <xdr:row>8</xdr:row>
      <xdr:rowOff>5443</xdr:rowOff>
    </xdr:to>
    <xdr:cxnSp macro="">
      <xdr:nvCxnSpPr>
        <xdr:cNvPr id="43" name="直線コネクタ 42"/>
        <xdr:cNvCxnSpPr/>
      </xdr:nvCxnSpPr>
      <xdr:spPr>
        <a:xfrm>
          <a:off x="40852271" y="1162958"/>
          <a:ext cx="7258" cy="163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382816</xdr:colOff>
      <xdr:row>13</xdr:row>
      <xdr:rowOff>156029</xdr:rowOff>
    </xdr:from>
    <xdr:to>
      <xdr:col>58</xdr:col>
      <xdr:colOff>235857</xdr:colOff>
      <xdr:row>14</xdr:row>
      <xdr:rowOff>0</xdr:rowOff>
    </xdr:to>
    <xdr:cxnSp macro="">
      <xdr:nvCxnSpPr>
        <xdr:cNvPr id="44" name="直線コネクタ 43"/>
        <xdr:cNvCxnSpPr/>
      </xdr:nvCxnSpPr>
      <xdr:spPr>
        <a:xfrm flipH="1" flipV="1">
          <a:off x="33987016" y="2302329"/>
          <a:ext cx="1072241" cy="9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468954</xdr:colOff>
      <xdr:row>4</xdr:row>
      <xdr:rowOff>33129</xdr:rowOff>
    </xdr:from>
    <xdr:to>
      <xdr:col>57</xdr:col>
      <xdr:colOff>331305</xdr:colOff>
      <xdr:row>5</xdr:row>
      <xdr:rowOff>134886</xdr:rowOff>
    </xdr:to>
    <xdr:sp macro="" textlink="">
      <xdr:nvSpPr>
        <xdr:cNvPr id="45" name="右中かっこ 44"/>
        <xdr:cNvSpPr/>
      </xdr:nvSpPr>
      <xdr:spPr>
        <a:xfrm rot="16200000" flipV="1">
          <a:off x="34175701" y="590982"/>
          <a:ext cx="266857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309218</xdr:colOff>
      <xdr:row>2</xdr:row>
      <xdr:rowOff>58530</xdr:rowOff>
    </xdr:from>
    <xdr:to>
      <xdr:col>57</xdr:col>
      <xdr:colOff>389836</xdr:colOff>
      <xdr:row>3</xdr:row>
      <xdr:rowOff>160286</xdr:rowOff>
    </xdr:to>
    <xdr:sp macro="" textlink="">
      <xdr:nvSpPr>
        <xdr:cNvPr id="46" name="右中かっこ 45"/>
        <xdr:cNvSpPr/>
      </xdr:nvSpPr>
      <xdr:spPr>
        <a:xfrm rot="16200000" flipV="1">
          <a:off x="34429899" y="481849"/>
          <a:ext cx="266856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56</xdr:col>
      <xdr:colOff>528273</xdr:colOff>
      <xdr:row>3</xdr:row>
      <xdr:rowOff>44174</xdr:rowOff>
    </xdr:from>
    <xdr:ext cx="279298" cy="244930"/>
    <xdr:sp macro="" textlink="">
      <xdr:nvSpPr>
        <xdr:cNvPr id="47" name="正方形/長方形 46"/>
        <xdr:cNvSpPr/>
      </xdr:nvSpPr>
      <xdr:spPr>
        <a:xfrm>
          <a:off x="34132473" y="539474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57</xdr:col>
      <xdr:colOff>222369</xdr:colOff>
      <xdr:row>0</xdr:row>
      <xdr:rowOff>146879</xdr:rowOff>
    </xdr:from>
    <xdr:ext cx="254741" cy="244930"/>
    <xdr:sp macro="" textlink="">
      <xdr:nvSpPr>
        <xdr:cNvPr id="48" name="正方形/長方形 47"/>
        <xdr:cNvSpPr/>
      </xdr:nvSpPr>
      <xdr:spPr>
        <a:xfrm>
          <a:off x="34436169" y="14687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75096</xdr:colOff>
      <xdr:row>2</xdr:row>
      <xdr:rowOff>50800</xdr:rowOff>
    </xdr:from>
    <xdr:to>
      <xdr:col>61</xdr:col>
      <xdr:colOff>155714</xdr:colOff>
      <xdr:row>3</xdr:row>
      <xdr:rowOff>152556</xdr:rowOff>
    </xdr:to>
    <xdr:sp macro="" textlink="">
      <xdr:nvSpPr>
        <xdr:cNvPr id="49" name="右中かっこ 48"/>
        <xdr:cNvSpPr/>
      </xdr:nvSpPr>
      <xdr:spPr>
        <a:xfrm rot="16200000" flipV="1">
          <a:off x="36634177" y="474119"/>
          <a:ext cx="266856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595639</xdr:colOff>
      <xdr:row>0</xdr:row>
      <xdr:rowOff>139149</xdr:rowOff>
    </xdr:from>
    <xdr:ext cx="254741" cy="244930"/>
    <xdr:sp macro="" textlink="">
      <xdr:nvSpPr>
        <xdr:cNvPr id="50" name="正方形/長方形 49"/>
        <xdr:cNvSpPr/>
      </xdr:nvSpPr>
      <xdr:spPr>
        <a:xfrm>
          <a:off x="36638239" y="13914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57</xdr:col>
      <xdr:colOff>312137</xdr:colOff>
      <xdr:row>6</xdr:row>
      <xdr:rowOff>58529</xdr:rowOff>
    </xdr:from>
    <xdr:to>
      <xdr:col>58</xdr:col>
      <xdr:colOff>174487</xdr:colOff>
      <xdr:row>7</xdr:row>
      <xdr:rowOff>160286</xdr:rowOff>
    </xdr:to>
    <xdr:sp macro="" textlink="">
      <xdr:nvSpPr>
        <xdr:cNvPr id="51" name="右中かっこ 50"/>
        <xdr:cNvSpPr/>
      </xdr:nvSpPr>
      <xdr:spPr>
        <a:xfrm rot="16200000" flipV="1">
          <a:off x="34628483" y="946583"/>
          <a:ext cx="266857" cy="4719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57</xdr:col>
      <xdr:colOff>371456</xdr:colOff>
      <xdr:row>5</xdr:row>
      <xdr:rowOff>69574</xdr:rowOff>
    </xdr:from>
    <xdr:ext cx="279298" cy="244930"/>
    <xdr:sp macro="" textlink="">
      <xdr:nvSpPr>
        <xdr:cNvPr id="52" name="正方形/長方形 51"/>
        <xdr:cNvSpPr/>
      </xdr:nvSpPr>
      <xdr:spPr>
        <a:xfrm>
          <a:off x="34585256" y="895074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58</xdr:col>
      <xdr:colOff>160841</xdr:colOff>
      <xdr:row>10</xdr:row>
      <xdr:rowOff>56320</xdr:rowOff>
    </xdr:from>
    <xdr:to>
      <xdr:col>59</xdr:col>
      <xdr:colOff>23192</xdr:colOff>
      <xdr:row>11</xdr:row>
      <xdr:rowOff>158077</xdr:rowOff>
    </xdr:to>
    <xdr:sp macro="" textlink="">
      <xdr:nvSpPr>
        <xdr:cNvPr id="53" name="右中かっこ 52"/>
        <xdr:cNvSpPr/>
      </xdr:nvSpPr>
      <xdr:spPr>
        <a:xfrm rot="16200000" flipV="1">
          <a:off x="35086788" y="1604773"/>
          <a:ext cx="266857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58</xdr:col>
      <xdr:colOff>220160</xdr:colOff>
      <xdr:row>9</xdr:row>
      <xdr:rowOff>67365</xdr:rowOff>
    </xdr:from>
    <xdr:ext cx="279298" cy="244930"/>
    <xdr:sp macro="" textlink="">
      <xdr:nvSpPr>
        <xdr:cNvPr id="54" name="正方形/長方形 53"/>
        <xdr:cNvSpPr/>
      </xdr:nvSpPr>
      <xdr:spPr>
        <a:xfrm>
          <a:off x="35043560" y="155326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59</xdr:col>
      <xdr:colOff>81328</xdr:colOff>
      <xdr:row>7</xdr:row>
      <xdr:rowOff>32025</xdr:rowOff>
    </xdr:from>
    <xdr:to>
      <xdr:col>59</xdr:col>
      <xdr:colOff>551070</xdr:colOff>
      <xdr:row>8</xdr:row>
      <xdr:rowOff>133782</xdr:rowOff>
    </xdr:to>
    <xdr:sp macro="" textlink="">
      <xdr:nvSpPr>
        <xdr:cNvPr id="55" name="右中かっこ 54"/>
        <xdr:cNvSpPr/>
      </xdr:nvSpPr>
      <xdr:spPr>
        <a:xfrm rot="16200000" flipV="1">
          <a:off x="35615770" y="1086283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140647</xdr:colOff>
      <xdr:row>6</xdr:row>
      <xdr:rowOff>43070</xdr:rowOff>
    </xdr:from>
    <xdr:ext cx="279298" cy="244930"/>
    <xdr:sp macro="" textlink="">
      <xdr:nvSpPr>
        <xdr:cNvPr id="56" name="正方形/長方形 55"/>
        <xdr:cNvSpPr/>
      </xdr:nvSpPr>
      <xdr:spPr>
        <a:xfrm>
          <a:off x="35573647" y="103367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95685</xdr:colOff>
      <xdr:row>10</xdr:row>
      <xdr:rowOff>51903</xdr:rowOff>
    </xdr:from>
    <xdr:to>
      <xdr:col>60</xdr:col>
      <xdr:colOff>565427</xdr:colOff>
      <xdr:row>11</xdr:row>
      <xdr:rowOff>153660</xdr:rowOff>
    </xdr:to>
    <xdr:sp macro="" textlink="">
      <xdr:nvSpPr>
        <xdr:cNvPr id="57" name="右中かっこ 56"/>
        <xdr:cNvSpPr/>
      </xdr:nvSpPr>
      <xdr:spPr>
        <a:xfrm rot="16200000" flipV="1">
          <a:off x="36239727" y="1601461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155004</xdr:colOff>
      <xdr:row>9</xdr:row>
      <xdr:rowOff>62948</xdr:rowOff>
    </xdr:from>
    <xdr:ext cx="279298" cy="244930"/>
    <xdr:sp macro="" textlink="">
      <xdr:nvSpPr>
        <xdr:cNvPr id="58" name="正方形/長方形 57"/>
        <xdr:cNvSpPr/>
      </xdr:nvSpPr>
      <xdr:spPr>
        <a:xfrm>
          <a:off x="36197604" y="1548848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65866</xdr:colOff>
      <xdr:row>12</xdr:row>
      <xdr:rowOff>121477</xdr:rowOff>
    </xdr:from>
    <xdr:to>
      <xdr:col>61</xdr:col>
      <xdr:colOff>535608</xdr:colOff>
      <xdr:row>14</xdr:row>
      <xdr:rowOff>57582</xdr:rowOff>
    </xdr:to>
    <xdr:sp macro="" textlink="">
      <xdr:nvSpPr>
        <xdr:cNvPr id="59" name="右中かっこ 58"/>
        <xdr:cNvSpPr/>
      </xdr:nvSpPr>
      <xdr:spPr>
        <a:xfrm rot="16200000" flipV="1">
          <a:off x="36819784" y="2000959"/>
          <a:ext cx="266305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125185</xdr:colOff>
      <xdr:row>11</xdr:row>
      <xdr:rowOff>132522</xdr:rowOff>
    </xdr:from>
    <xdr:ext cx="279298" cy="244930"/>
    <xdr:sp macro="" textlink="">
      <xdr:nvSpPr>
        <xdr:cNvPr id="60" name="正方形/長方形 59"/>
        <xdr:cNvSpPr/>
      </xdr:nvSpPr>
      <xdr:spPr>
        <a:xfrm>
          <a:off x="36777385" y="1948622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19484</xdr:colOff>
      <xdr:row>10</xdr:row>
      <xdr:rowOff>47485</xdr:rowOff>
    </xdr:from>
    <xdr:to>
      <xdr:col>62</xdr:col>
      <xdr:colOff>489226</xdr:colOff>
      <xdr:row>11</xdr:row>
      <xdr:rowOff>149242</xdr:rowOff>
    </xdr:to>
    <xdr:sp macro="" textlink="">
      <xdr:nvSpPr>
        <xdr:cNvPr id="61" name="右中かっこ 60"/>
        <xdr:cNvSpPr/>
      </xdr:nvSpPr>
      <xdr:spPr>
        <a:xfrm rot="16200000" flipV="1">
          <a:off x="37382726" y="1597043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78803</xdr:colOff>
      <xdr:row>9</xdr:row>
      <xdr:rowOff>58530</xdr:rowOff>
    </xdr:from>
    <xdr:ext cx="279298" cy="244930"/>
    <xdr:sp macro="" textlink="">
      <xdr:nvSpPr>
        <xdr:cNvPr id="62" name="正方形/長方形 61"/>
        <xdr:cNvSpPr/>
      </xdr:nvSpPr>
      <xdr:spPr>
        <a:xfrm>
          <a:off x="37340603" y="154443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588222</xdr:colOff>
      <xdr:row>12</xdr:row>
      <xdr:rowOff>119268</xdr:rowOff>
    </xdr:from>
    <xdr:to>
      <xdr:col>63</xdr:col>
      <xdr:colOff>450573</xdr:colOff>
      <xdr:row>14</xdr:row>
      <xdr:rowOff>55373</xdr:rowOff>
    </xdr:to>
    <xdr:sp macro="" textlink="">
      <xdr:nvSpPr>
        <xdr:cNvPr id="63" name="右中かっこ 62"/>
        <xdr:cNvSpPr/>
      </xdr:nvSpPr>
      <xdr:spPr>
        <a:xfrm rot="16200000" flipV="1">
          <a:off x="37952845" y="1997645"/>
          <a:ext cx="266305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63</xdr:col>
      <xdr:colOff>40150</xdr:colOff>
      <xdr:row>11</xdr:row>
      <xdr:rowOff>130313</xdr:rowOff>
    </xdr:from>
    <xdr:ext cx="279298" cy="244930"/>
    <xdr:sp macro="" textlink="">
      <xdr:nvSpPr>
        <xdr:cNvPr id="64" name="正方形/長方形 63"/>
        <xdr:cNvSpPr/>
      </xdr:nvSpPr>
      <xdr:spPr>
        <a:xfrm>
          <a:off x="37911550" y="194641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80896</xdr:colOff>
      <xdr:row>3</xdr:row>
      <xdr:rowOff>127431</xdr:rowOff>
    </xdr:from>
    <xdr:to>
      <xdr:col>62</xdr:col>
      <xdr:colOff>281609</xdr:colOff>
      <xdr:row>5</xdr:row>
      <xdr:rowOff>127000</xdr:rowOff>
    </xdr:to>
    <xdr:sp macro="" textlink="">
      <xdr:nvSpPr>
        <xdr:cNvPr id="65" name="右中かっこ 64"/>
        <xdr:cNvSpPr/>
      </xdr:nvSpPr>
      <xdr:spPr>
        <a:xfrm flipV="1">
          <a:off x="37342696" y="622731"/>
          <a:ext cx="200713" cy="32976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273169</xdr:colOff>
      <xdr:row>3</xdr:row>
      <xdr:rowOff>159027</xdr:rowOff>
    </xdr:from>
    <xdr:ext cx="300971" cy="244930"/>
    <xdr:sp macro="" textlink="">
      <xdr:nvSpPr>
        <xdr:cNvPr id="66" name="正方形/長方形 65"/>
        <xdr:cNvSpPr/>
      </xdr:nvSpPr>
      <xdr:spPr>
        <a:xfrm>
          <a:off x="37534969" y="654327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zd117datasaver\ICE1_4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Relationship Id="rId2" Type="http://schemas.openxmlformats.org/officeDocument/2006/relationships/hyperlink" Target="file:///\\zd117datasaver\ICE1_4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Relationship Id="rId1" Type="http://schemas.openxmlformats.org/officeDocument/2006/relationships/hyperlink" Target="file:///\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7:K41"/>
  <sheetViews>
    <sheetView workbookViewId="0">
      <selection activeCell="E14" sqref="E14"/>
    </sheetView>
  </sheetViews>
  <sheetFormatPr defaultRowHeight="13"/>
  <sheetData>
    <row r="7" spans="2:3">
      <c r="B7">
        <v>1</v>
      </c>
      <c r="C7" t="s">
        <v>553</v>
      </c>
    </row>
    <row r="8" spans="2:3">
      <c r="B8">
        <v>2</v>
      </c>
      <c r="C8" t="s">
        <v>554</v>
      </c>
    </row>
    <row r="9" spans="2:3">
      <c r="B9">
        <v>3</v>
      </c>
      <c r="C9" t="s">
        <v>567</v>
      </c>
    </row>
    <row r="10" spans="2:3">
      <c r="B10">
        <v>4</v>
      </c>
      <c r="C10" t="s">
        <v>592</v>
      </c>
    </row>
    <row r="19" spans="4:11">
      <c r="D19" t="s">
        <v>571</v>
      </c>
      <c r="E19" t="s">
        <v>573</v>
      </c>
      <c r="K19" t="s">
        <v>572</v>
      </c>
    </row>
    <row r="20" spans="4:11">
      <c r="E20" t="s">
        <v>575</v>
      </c>
    </row>
    <row r="21" spans="4:11">
      <c r="E21" t="s">
        <v>574</v>
      </c>
    </row>
    <row r="32" spans="4:11">
      <c r="D32" t="s">
        <v>576</v>
      </c>
    </row>
    <row r="33" spans="3:5">
      <c r="C33" t="s">
        <v>587</v>
      </c>
      <c r="E33" s="47" t="s">
        <v>577</v>
      </c>
    </row>
    <row r="35" spans="3:5">
      <c r="C35" t="s">
        <v>587</v>
      </c>
      <c r="E35" s="47" t="s">
        <v>578</v>
      </c>
    </row>
    <row r="36" spans="3:5">
      <c r="C36" t="s">
        <v>585</v>
      </c>
      <c r="E36" s="47" t="s">
        <v>580</v>
      </c>
    </row>
    <row r="37" spans="3:5">
      <c r="C37" t="s">
        <v>586</v>
      </c>
      <c r="E37" s="47" t="s">
        <v>581</v>
      </c>
    </row>
    <row r="38" spans="3:5">
      <c r="C38" t="s">
        <v>583</v>
      </c>
      <c r="E38" s="47" t="s">
        <v>582</v>
      </c>
    </row>
    <row r="39" spans="3:5">
      <c r="C39" t="s">
        <v>584</v>
      </c>
      <c r="E39" s="47" t="s">
        <v>579</v>
      </c>
    </row>
    <row r="41" spans="3:5">
      <c r="C41" t="s">
        <v>583</v>
      </c>
      <c r="E41" s="47" t="s">
        <v>588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9:AE94"/>
  <sheetViews>
    <sheetView topLeftCell="J9" zoomScale="85" workbookViewId="0">
      <selection activeCell="T13" sqref="T13"/>
    </sheetView>
  </sheetViews>
  <sheetFormatPr defaultRowHeight="13"/>
  <cols>
    <col min="14" max="14" width="11.54296875" customWidth="1"/>
  </cols>
  <sheetData>
    <row r="9" spans="3:31">
      <c r="D9" t="s">
        <v>0</v>
      </c>
      <c r="G9" t="s">
        <v>1</v>
      </c>
      <c r="AE9" t="s">
        <v>1</v>
      </c>
    </row>
    <row r="10" spans="3:31">
      <c r="C10">
        <v>1</v>
      </c>
      <c r="D10">
        <v>0</v>
      </c>
      <c r="F10">
        <v>1</v>
      </c>
      <c r="G10">
        <v>0</v>
      </c>
      <c r="J10">
        <v>10</v>
      </c>
      <c r="K10">
        <v>1</v>
      </c>
      <c r="L10">
        <v>5</v>
      </c>
      <c r="M10">
        <v>1</v>
      </c>
      <c r="N10" s="1" t="s">
        <v>19</v>
      </c>
      <c r="AD10">
        <v>1</v>
      </c>
      <c r="AE10">
        <v>0</v>
      </c>
    </row>
    <row r="11" spans="3:31">
      <c r="C11">
        <v>2</v>
      </c>
      <c r="D11">
        <v>0</v>
      </c>
      <c r="F11">
        <v>9.99</v>
      </c>
      <c r="G11">
        <v>0.5</v>
      </c>
      <c r="J11">
        <v>11.994999999999999</v>
      </c>
      <c r="K11">
        <v>1</v>
      </c>
      <c r="L11">
        <v>5</v>
      </c>
      <c r="M11">
        <v>1</v>
      </c>
      <c r="AD11">
        <v>9.99</v>
      </c>
      <c r="AE11">
        <v>0.5</v>
      </c>
    </row>
    <row r="12" spans="3:31">
      <c r="C12">
        <v>3</v>
      </c>
      <c r="D12">
        <v>0</v>
      </c>
      <c r="F12">
        <v>9.9909999999999997</v>
      </c>
      <c r="G12">
        <v>1</v>
      </c>
      <c r="J12">
        <v>13.994999999999999</v>
      </c>
      <c r="K12">
        <v>0</v>
      </c>
      <c r="L12">
        <v>0</v>
      </c>
      <c r="M12">
        <v>1</v>
      </c>
      <c r="AD12">
        <v>9.9909999999999997</v>
      </c>
      <c r="AE12">
        <v>1</v>
      </c>
    </row>
    <row r="13" spans="3:31">
      <c r="C13">
        <v>4</v>
      </c>
      <c r="D13">
        <v>0</v>
      </c>
      <c r="F13">
        <v>9.9920000000000009</v>
      </c>
      <c r="G13">
        <v>1.5</v>
      </c>
      <c r="J13">
        <v>15.994999999999999</v>
      </c>
      <c r="K13">
        <v>0</v>
      </c>
      <c r="L13">
        <v>0</v>
      </c>
      <c r="M13">
        <v>1</v>
      </c>
      <c r="AD13">
        <v>9.9920000000000009</v>
      </c>
      <c r="AE13">
        <v>1.5</v>
      </c>
    </row>
    <row r="14" spans="3:31">
      <c r="C14">
        <v>9.99</v>
      </c>
      <c r="D14">
        <v>0</v>
      </c>
      <c r="F14">
        <v>9.9930000000000003</v>
      </c>
      <c r="G14">
        <v>2</v>
      </c>
      <c r="J14">
        <v>17.995000000000001</v>
      </c>
      <c r="K14">
        <v>1</v>
      </c>
      <c r="L14">
        <v>5</v>
      </c>
      <c r="M14">
        <v>1</v>
      </c>
      <c r="AD14">
        <v>9.9930000000000003</v>
      </c>
      <c r="AE14">
        <v>2</v>
      </c>
    </row>
    <row r="15" spans="3:31">
      <c r="C15">
        <v>10</v>
      </c>
      <c r="D15">
        <v>5</v>
      </c>
      <c r="F15">
        <v>9.9939999999999998</v>
      </c>
      <c r="G15">
        <v>2.5</v>
      </c>
      <c r="J15">
        <v>19.995000000000001</v>
      </c>
      <c r="K15">
        <v>0</v>
      </c>
      <c r="L15">
        <v>0</v>
      </c>
      <c r="M15">
        <v>1</v>
      </c>
      <c r="AD15">
        <v>9.9939999999999998</v>
      </c>
      <c r="AE15">
        <v>2.5</v>
      </c>
    </row>
    <row r="16" spans="3:31">
      <c r="C16">
        <v>10.99</v>
      </c>
      <c r="D16">
        <v>5</v>
      </c>
      <c r="F16">
        <v>9.9949999999999992</v>
      </c>
      <c r="G16">
        <v>3</v>
      </c>
      <c r="J16">
        <v>21.995000000000001</v>
      </c>
      <c r="K16">
        <v>0</v>
      </c>
      <c r="L16">
        <v>0</v>
      </c>
      <c r="M16">
        <v>1</v>
      </c>
      <c r="AD16">
        <v>9.9949999999999992</v>
      </c>
      <c r="AE16">
        <v>3</v>
      </c>
    </row>
    <row r="17" spans="3:31">
      <c r="C17">
        <v>10.997999999999999</v>
      </c>
      <c r="D17">
        <v>2.9</v>
      </c>
      <c r="F17">
        <v>9.9960000000000004</v>
      </c>
      <c r="G17">
        <v>3.5</v>
      </c>
      <c r="J17">
        <v>23.995000000000001</v>
      </c>
      <c r="K17">
        <v>0</v>
      </c>
      <c r="L17">
        <v>0</v>
      </c>
      <c r="M17">
        <v>1</v>
      </c>
      <c r="AD17">
        <v>9.9960000000000004</v>
      </c>
      <c r="AE17">
        <v>3.5</v>
      </c>
    </row>
    <row r="18" spans="3:31">
      <c r="C18">
        <v>10.999000000000001</v>
      </c>
      <c r="D18">
        <v>2.6</v>
      </c>
      <c r="F18">
        <v>9.9969999999999999</v>
      </c>
      <c r="G18">
        <v>4</v>
      </c>
      <c r="J18">
        <v>25.995000000000001</v>
      </c>
      <c r="K18">
        <v>0</v>
      </c>
      <c r="L18">
        <v>0</v>
      </c>
      <c r="M18">
        <v>1</v>
      </c>
      <c r="AD18">
        <v>9.9969999999999999</v>
      </c>
      <c r="AE18">
        <v>4</v>
      </c>
    </row>
    <row r="19" spans="3:31">
      <c r="C19">
        <v>11</v>
      </c>
      <c r="D19">
        <v>5</v>
      </c>
      <c r="F19">
        <v>9.9979999999999993</v>
      </c>
      <c r="G19">
        <v>4.5</v>
      </c>
      <c r="J19">
        <v>27.995000000000001</v>
      </c>
      <c r="K19">
        <v>0</v>
      </c>
      <c r="L19">
        <v>0</v>
      </c>
      <c r="M19">
        <v>1</v>
      </c>
      <c r="AD19">
        <v>9.9979999999999993</v>
      </c>
      <c r="AE19">
        <v>4.5</v>
      </c>
    </row>
    <row r="20" spans="3:31">
      <c r="C20">
        <v>11</v>
      </c>
      <c r="D20">
        <v>5</v>
      </c>
      <c r="F20">
        <v>9.9990000000000006</v>
      </c>
      <c r="G20">
        <v>5</v>
      </c>
      <c r="J20">
        <v>29.995000000000001</v>
      </c>
      <c r="K20">
        <v>0</v>
      </c>
      <c r="L20">
        <v>0</v>
      </c>
      <c r="M20">
        <v>1</v>
      </c>
      <c r="AD20">
        <v>9.9990000000000006</v>
      </c>
      <c r="AE20">
        <v>5</v>
      </c>
    </row>
    <row r="21" spans="3:31">
      <c r="C21">
        <v>11.01</v>
      </c>
      <c r="D21">
        <v>2.6</v>
      </c>
      <c r="F21">
        <v>9.9999999999999893</v>
      </c>
      <c r="G21">
        <v>5</v>
      </c>
      <c r="AD21">
        <v>9.9999999999999893</v>
      </c>
      <c r="AE21">
        <v>5</v>
      </c>
    </row>
    <row r="22" spans="3:31">
      <c r="C22">
        <v>11.02</v>
      </c>
      <c r="D22">
        <v>0</v>
      </c>
      <c r="F22">
        <v>11</v>
      </c>
      <c r="G22">
        <v>5</v>
      </c>
      <c r="H22">
        <v>1</v>
      </c>
      <c r="AD22">
        <v>11</v>
      </c>
      <c r="AE22">
        <v>5</v>
      </c>
    </row>
    <row r="23" spans="3:31">
      <c r="C23">
        <v>12</v>
      </c>
      <c r="D23">
        <v>0</v>
      </c>
      <c r="F23">
        <v>14</v>
      </c>
      <c r="G23">
        <v>5</v>
      </c>
      <c r="H23">
        <v>1</v>
      </c>
      <c r="AD23">
        <v>12</v>
      </c>
      <c r="AE23">
        <v>5</v>
      </c>
    </row>
    <row r="24" spans="3:31">
      <c r="C24">
        <v>11.99</v>
      </c>
      <c r="D24">
        <v>0</v>
      </c>
      <c r="F24">
        <v>14.000999999999999</v>
      </c>
      <c r="G24">
        <v>4.9000000000000004</v>
      </c>
      <c r="AD24">
        <v>12.000999999999999</v>
      </c>
      <c r="AE24">
        <v>4.9000000000000004</v>
      </c>
    </row>
    <row r="25" spans="3:31">
      <c r="C25">
        <v>11.994999999999999</v>
      </c>
      <c r="D25">
        <v>4.9000000000000004</v>
      </c>
      <c r="F25">
        <v>14.002000000000001</v>
      </c>
      <c r="G25">
        <v>4.8</v>
      </c>
      <c r="N25">
        <v>0</v>
      </c>
      <c r="AD25">
        <v>12.002000000000001</v>
      </c>
      <c r="AE25">
        <v>4.8</v>
      </c>
    </row>
    <row r="26" spans="3:31">
      <c r="C26">
        <v>12</v>
      </c>
      <c r="D26">
        <v>5</v>
      </c>
      <c r="F26">
        <v>14.010999999999999</v>
      </c>
      <c r="G26">
        <v>0</v>
      </c>
      <c r="AD26">
        <v>12.003</v>
      </c>
      <c r="AE26">
        <v>4.7</v>
      </c>
    </row>
    <row r="27" spans="3:31">
      <c r="C27">
        <v>13</v>
      </c>
      <c r="D27">
        <f>D20</f>
        <v>5</v>
      </c>
      <c r="F27">
        <v>18</v>
      </c>
      <c r="G27">
        <v>0</v>
      </c>
      <c r="H27">
        <v>0</v>
      </c>
      <c r="N27">
        <v>1</v>
      </c>
      <c r="AD27">
        <v>12.004</v>
      </c>
      <c r="AE27">
        <v>4.5999999999999996</v>
      </c>
    </row>
    <row r="28" spans="3:31">
      <c r="C28">
        <f>C21+2</f>
        <v>13.01</v>
      </c>
      <c r="D28">
        <f t="shared" ref="D28:D51" si="0">D21</f>
        <v>2.6</v>
      </c>
      <c r="F28">
        <v>18.010000000000002</v>
      </c>
      <c r="G28">
        <v>5</v>
      </c>
      <c r="AD28">
        <v>12.005000000000001</v>
      </c>
      <c r="AE28">
        <v>4.5</v>
      </c>
    </row>
    <row r="29" spans="3:31">
      <c r="C29">
        <f t="shared" ref="C29:C92" si="1">C22+2</f>
        <v>13.02</v>
      </c>
      <c r="D29">
        <f t="shared" si="0"/>
        <v>0</v>
      </c>
      <c r="F29">
        <v>20</v>
      </c>
      <c r="G29">
        <v>5</v>
      </c>
      <c r="H29">
        <v>1</v>
      </c>
      <c r="M29" t="s">
        <v>6</v>
      </c>
      <c r="AD29">
        <v>12.006</v>
      </c>
      <c r="AE29">
        <v>4.4000000000000004</v>
      </c>
    </row>
    <row r="30" spans="3:31">
      <c r="C30">
        <f t="shared" si="1"/>
        <v>14</v>
      </c>
      <c r="D30">
        <f t="shared" si="0"/>
        <v>0</v>
      </c>
      <c r="F30">
        <v>20.010000000000002</v>
      </c>
      <c r="G30">
        <v>0</v>
      </c>
      <c r="N30">
        <v>2</v>
      </c>
      <c r="O30" t="s">
        <v>7</v>
      </c>
      <c r="AD30">
        <v>12.01</v>
      </c>
      <c r="AE30">
        <v>2.4</v>
      </c>
    </row>
    <row r="31" spans="3:31">
      <c r="C31">
        <f t="shared" si="1"/>
        <v>13.99</v>
      </c>
      <c r="D31">
        <f t="shared" si="0"/>
        <v>0</v>
      </c>
      <c r="F31">
        <v>33</v>
      </c>
      <c r="G31">
        <v>0</v>
      </c>
      <c r="H31">
        <v>0</v>
      </c>
      <c r="P31" t="s">
        <v>11</v>
      </c>
      <c r="AD31">
        <v>12.010999999999999</v>
      </c>
      <c r="AE31">
        <v>0</v>
      </c>
    </row>
    <row r="32" spans="3:31">
      <c r="C32">
        <f t="shared" si="1"/>
        <v>13.994999999999999</v>
      </c>
      <c r="D32">
        <f t="shared" si="0"/>
        <v>4.9000000000000004</v>
      </c>
      <c r="N32">
        <v>3</v>
      </c>
      <c r="O32" t="s">
        <v>2</v>
      </c>
      <c r="AD32">
        <v>13</v>
      </c>
      <c r="AE32">
        <v>0</v>
      </c>
    </row>
    <row r="33" spans="3:31">
      <c r="C33">
        <f t="shared" si="1"/>
        <v>14</v>
      </c>
      <c r="D33">
        <f t="shared" si="0"/>
        <v>5</v>
      </c>
      <c r="H33">
        <v>0</v>
      </c>
      <c r="P33" t="s">
        <v>9</v>
      </c>
      <c r="AD33">
        <v>33</v>
      </c>
      <c r="AE33">
        <v>0</v>
      </c>
    </row>
    <row r="34" spans="3:31">
      <c r="C34">
        <f t="shared" si="1"/>
        <v>15</v>
      </c>
      <c r="D34">
        <f t="shared" si="0"/>
        <v>5</v>
      </c>
      <c r="N34">
        <v>4</v>
      </c>
    </row>
    <row r="35" spans="3:31">
      <c r="C35">
        <f t="shared" si="1"/>
        <v>15.01</v>
      </c>
      <c r="D35">
        <f t="shared" si="0"/>
        <v>2.6</v>
      </c>
      <c r="O35" t="s">
        <v>3</v>
      </c>
    </row>
    <row r="36" spans="3:31">
      <c r="C36">
        <f t="shared" si="1"/>
        <v>15.02</v>
      </c>
      <c r="D36">
        <f t="shared" si="0"/>
        <v>0</v>
      </c>
      <c r="N36">
        <v>5</v>
      </c>
      <c r="P36" t="s">
        <v>12</v>
      </c>
    </row>
    <row r="37" spans="3:31">
      <c r="C37">
        <f t="shared" si="1"/>
        <v>16</v>
      </c>
      <c r="D37">
        <f t="shared" si="0"/>
        <v>0</v>
      </c>
      <c r="O37" t="s">
        <v>4</v>
      </c>
    </row>
    <row r="38" spans="3:31">
      <c r="C38">
        <f t="shared" si="1"/>
        <v>15.99</v>
      </c>
      <c r="D38">
        <f t="shared" si="0"/>
        <v>0</v>
      </c>
      <c r="N38">
        <v>6</v>
      </c>
      <c r="P38" t="s">
        <v>10</v>
      </c>
    </row>
    <row r="39" spans="3:31">
      <c r="C39">
        <f t="shared" si="1"/>
        <v>15.994999999999999</v>
      </c>
      <c r="D39">
        <f t="shared" si="0"/>
        <v>4.9000000000000004</v>
      </c>
      <c r="O39" t="s">
        <v>5</v>
      </c>
    </row>
    <row r="40" spans="3:31">
      <c r="C40">
        <f t="shared" si="1"/>
        <v>16</v>
      </c>
      <c r="D40">
        <f t="shared" si="0"/>
        <v>5</v>
      </c>
      <c r="N40">
        <v>7</v>
      </c>
      <c r="P40" t="s">
        <v>13</v>
      </c>
    </row>
    <row r="41" spans="3:31">
      <c r="C41">
        <f t="shared" si="1"/>
        <v>17</v>
      </c>
      <c r="D41">
        <f t="shared" si="0"/>
        <v>5</v>
      </c>
      <c r="O41" t="s">
        <v>14</v>
      </c>
    </row>
    <row r="42" spans="3:31">
      <c r="C42">
        <f t="shared" si="1"/>
        <v>17.009999999999998</v>
      </c>
      <c r="D42">
        <f t="shared" si="0"/>
        <v>2.6</v>
      </c>
      <c r="N42">
        <v>8</v>
      </c>
    </row>
    <row r="43" spans="3:31">
      <c r="C43">
        <f t="shared" si="1"/>
        <v>17.02</v>
      </c>
      <c r="D43">
        <f t="shared" si="0"/>
        <v>0</v>
      </c>
      <c r="O43" t="s">
        <v>15</v>
      </c>
    </row>
    <row r="44" spans="3:31">
      <c r="C44">
        <f t="shared" si="1"/>
        <v>18</v>
      </c>
      <c r="D44">
        <f t="shared" si="0"/>
        <v>0</v>
      </c>
      <c r="N44">
        <v>9</v>
      </c>
      <c r="P44" t="s">
        <v>16</v>
      </c>
    </row>
    <row r="45" spans="3:31">
      <c r="C45">
        <f t="shared" si="1"/>
        <v>17.990000000000002</v>
      </c>
      <c r="D45">
        <f t="shared" si="0"/>
        <v>0</v>
      </c>
      <c r="O45" t="s">
        <v>8</v>
      </c>
    </row>
    <row r="46" spans="3:31">
      <c r="C46">
        <f t="shared" si="1"/>
        <v>17.994999999999997</v>
      </c>
      <c r="D46">
        <f t="shared" si="0"/>
        <v>4.9000000000000004</v>
      </c>
    </row>
    <row r="47" spans="3:31">
      <c r="C47">
        <f t="shared" si="1"/>
        <v>18</v>
      </c>
      <c r="D47">
        <f t="shared" si="0"/>
        <v>5</v>
      </c>
      <c r="O47" t="s">
        <v>17</v>
      </c>
    </row>
    <row r="48" spans="3:31">
      <c r="C48">
        <f t="shared" si="1"/>
        <v>19</v>
      </c>
      <c r="D48">
        <f t="shared" si="0"/>
        <v>5</v>
      </c>
    </row>
    <row r="49" spans="3:15">
      <c r="C49">
        <f t="shared" si="1"/>
        <v>19.009999999999998</v>
      </c>
      <c r="D49">
        <f t="shared" si="0"/>
        <v>2.6</v>
      </c>
      <c r="O49" t="s">
        <v>18</v>
      </c>
    </row>
    <row r="50" spans="3:15">
      <c r="C50">
        <f t="shared" si="1"/>
        <v>19.02</v>
      </c>
      <c r="D50">
        <f t="shared" si="0"/>
        <v>0</v>
      </c>
    </row>
    <row r="51" spans="3:15">
      <c r="C51">
        <f t="shared" si="1"/>
        <v>20</v>
      </c>
      <c r="D51">
        <f t="shared" si="0"/>
        <v>0</v>
      </c>
    </row>
    <row r="52" spans="3:15">
      <c r="C52">
        <f t="shared" si="1"/>
        <v>19.990000000000002</v>
      </c>
      <c r="D52">
        <f t="shared" ref="D52:D92" si="2">D45</f>
        <v>0</v>
      </c>
    </row>
    <row r="53" spans="3:15">
      <c r="C53">
        <f t="shared" si="1"/>
        <v>19.994999999999997</v>
      </c>
      <c r="D53">
        <f t="shared" si="2"/>
        <v>4.9000000000000004</v>
      </c>
    </row>
    <row r="54" spans="3:15">
      <c r="C54">
        <f t="shared" si="1"/>
        <v>20</v>
      </c>
      <c r="D54">
        <f t="shared" si="2"/>
        <v>5</v>
      </c>
    </row>
    <row r="55" spans="3:15">
      <c r="C55">
        <f t="shared" si="1"/>
        <v>21</v>
      </c>
      <c r="D55">
        <f t="shared" si="2"/>
        <v>5</v>
      </c>
    </row>
    <row r="56" spans="3:15">
      <c r="C56">
        <f t="shared" si="1"/>
        <v>21.009999999999998</v>
      </c>
      <c r="D56">
        <f t="shared" si="2"/>
        <v>2.6</v>
      </c>
    </row>
    <row r="57" spans="3:15">
      <c r="C57">
        <f t="shared" si="1"/>
        <v>21.02</v>
      </c>
      <c r="D57">
        <f t="shared" si="2"/>
        <v>0</v>
      </c>
    </row>
    <row r="58" spans="3:15">
      <c r="C58">
        <f t="shared" si="1"/>
        <v>22</v>
      </c>
      <c r="D58">
        <f t="shared" si="2"/>
        <v>0</v>
      </c>
    </row>
    <row r="59" spans="3:15">
      <c r="C59">
        <f t="shared" si="1"/>
        <v>21.990000000000002</v>
      </c>
      <c r="D59">
        <f t="shared" si="2"/>
        <v>0</v>
      </c>
    </row>
    <row r="60" spans="3:15">
      <c r="C60">
        <f t="shared" si="1"/>
        <v>21.994999999999997</v>
      </c>
      <c r="D60">
        <f t="shared" si="2"/>
        <v>4.9000000000000004</v>
      </c>
    </row>
    <row r="61" spans="3:15">
      <c r="C61">
        <f t="shared" si="1"/>
        <v>22</v>
      </c>
      <c r="D61">
        <f t="shared" si="2"/>
        <v>5</v>
      </c>
    </row>
    <row r="62" spans="3:15">
      <c r="C62">
        <f t="shared" si="1"/>
        <v>23</v>
      </c>
      <c r="D62">
        <f t="shared" si="2"/>
        <v>5</v>
      </c>
    </row>
    <row r="63" spans="3:15">
      <c r="C63">
        <f t="shared" si="1"/>
        <v>23.009999999999998</v>
      </c>
      <c r="D63">
        <f t="shared" si="2"/>
        <v>2.6</v>
      </c>
    </row>
    <row r="64" spans="3:15">
      <c r="C64">
        <f t="shared" si="1"/>
        <v>23.02</v>
      </c>
      <c r="D64">
        <f t="shared" si="2"/>
        <v>0</v>
      </c>
    </row>
    <row r="65" spans="3:4">
      <c r="C65">
        <f t="shared" si="1"/>
        <v>24</v>
      </c>
      <c r="D65">
        <f t="shared" si="2"/>
        <v>0</v>
      </c>
    </row>
    <row r="66" spans="3:4">
      <c r="C66">
        <f t="shared" si="1"/>
        <v>23.990000000000002</v>
      </c>
      <c r="D66">
        <f t="shared" si="2"/>
        <v>0</v>
      </c>
    </row>
    <row r="67" spans="3:4">
      <c r="C67">
        <f t="shared" si="1"/>
        <v>23.994999999999997</v>
      </c>
      <c r="D67">
        <f t="shared" si="2"/>
        <v>4.9000000000000004</v>
      </c>
    </row>
    <row r="68" spans="3:4">
      <c r="C68">
        <f t="shared" si="1"/>
        <v>24</v>
      </c>
      <c r="D68">
        <f t="shared" si="2"/>
        <v>5</v>
      </c>
    </row>
    <row r="69" spans="3:4">
      <c r="C69">
        <f t="shared" si="1"/>
        <v>25</v>
      </c>
      <c r="D69">
        <f t="shared" si="2"/>
        <v>5</v>
      </c>
    </row>
    <row r="70" spans="3:4">
      <c r="C70">
        <f t="shared" si="1"/>
        <v>25.009999999999998</v>
      </c>
      <c r="D70">
        <f t="shared" si="2"/>
        <v>2.6</v>
      </c>
    </row>
    <row r="71" spans="3:4">
      <c r="C71">
        <f t="shared" si="1"/>
        <v>25.02</v>
      </c>
      <c r="D71">
        <f t="shared" si="2"/>
        <v>0</v>
      </c>
    </row>
    <row r="72" spans="3:4">
      <c r="C72">
        <f t="shared" si="1"/>
        <v>26</v>
      </c>
      <c r="D72">
        <f t="shared" si="2"/>
        <v>0</v>
      </c>
    </row>
    <row r="73" spans="3:4">
      <c r="C73">
        <f t="shared" si="1"/>
        <v>25.990000000000002</v>
      </c>
      <c r="D73">
        <f t="shared" si="2"/>
        <v>0</v>
      </c>
    </row>
    <row r="74" spans="3:4">
      <c r="C74">
        <f t="shared" si="1"/>
        <v>25.994999999999997</v>
      </c>
      <c r="D74">
        <f t="shared" si="2"/>
        <v>4.9000000000000004</v>
      </c>
    </row>
    <row r="75" spans="3:4">
      <c r="C75">
        <f t="shared" si="1"/>
        <v>26</v>
      </c>
      <c r="D75">
        <f t="shared" si="2"/>
        <v>5</v>
      </c>
    </row>
    <row r="76" spans="3:4">
      <c r="C76">
        <f t="shared" si="1"/>
        <v>27</v>
      </c>
      <c r="D76">
        <f t="shared" si="2"/>
        <v>5</v>
      </c>
    </row>
    <row r="77" spans="3:4">
      <c r="C77">
        <f t="shared" si="1"/>
        <v>27.009999999999998</v>
      </c>
      <c r="D77">
        <f t="shared" si="2"/>
        <v>2.6</v>
      </c>
    </row>
    <row r="78" spans="3:4">
      <c r="C78">
        <f t="shared" si="1"/>
        <v>27.02</v>
      </c>
      <c r="D78">
        <f t="shared" si="2"/>
        <v>0</v>
      </c>
    </row>
    <row r="79" spans="3:4">
      <c r="C79">
        <f t="shared" si="1"/>
        <v>28</v>
      </c>
      <c r="D79">
        <f t="shared" si="2"/>
        <v>0</v>
      </c>
    </row>
    <row r="80" spans="3:4">
      <c r="C80">
        <f t="shared" si="1"/>
        <v>27.990000000000002</v>
      </c>
      <c r="D80">
        <f t="shared" si="2"/>
        <v>0</v>
      </c>
    </row>
    <row r="81" spans="3:4">
      <c r="C81">
        <f t="shared" si="1"/>
        <v>27.994999999999997</v>
      </c>
      <c r="D81">
        <f t="shared" si="2"/>
        <v>4.9000000000000004</v>
      </c>
    </row>
    <row r="82" spans="3:4">
      <c r="C82">
        <f t="shared" si="1"/>
        <v>28</v>
      </c>
      <c r="D82">
        <f t="shared" si="2"/>
        <v>5</v>
      </c>
    </row>
    <row r="83" spans="3:4">
      <c r="C83">
        <f t="shared" si="1"/>
        <v>29</v>
      </c>
      <c r="D83">
        <f t="shared" si="2"/>
        <v>5</v>
      </c>
    </row>
    <row r="84" spans="3:4">
      <c r="C84">
        <f t="shared" si="1"/>
        <v>29.009999999999998</v>
      </c>
      <c r="D84">
        <f t="shared" si="2"/>
        <v>2.6</v>
      </c>
    </row>
    <row r="85" spans="3:4">
      <c r="C85">
        <f t="shared" si="1"/>
        <v>29.02</v>
      </c>
      <c r="D85">
        <f t="shared" si="2"/>
        <v>0</v>
      </c>
    </row>
    <row r="86" spans="3:4">
      <c r="C86">
        <f t="shared" si="1"/>
        <v>30</v>
      </c>
      <c r="D86">
        <f t="shared" si="2"/>
        <v>0</v>
      </c>
    </row>
    <row r="87" spans="3:4">
      <c r="C87">
        <f t="shared" si="1"/>
        <v>29.990000000000002</v>
      </c>
      <c r="D87">
        <f t="shared" si="2"/>
        <v>0</v>
      </c>
    </row>
    <row r="88" spans="3:4">
      <c r="C88">
        <f t="shared" si="1"/>
        <v>29.994999999999997</v>
      </c>
      <c r="D88">
        <f t="shared" si="2"/>
        <v>4.9000000000000004</v>
      </c>
    </row>
    <row r="89" spans="3:4">
      <c r="C89">
        <f t="shared" si="1"/>
        <v>30</v>
      </c>
      <c r="D89">
        <f t="shared" si="2"/>
        <v>5</v>
      </c>
    </row>
    <row r="90" spans="3:4">
      <c r="C90">
        <f t="shared" si="1"/>
        <v>31</v>
      </c>
      <c r="D90">
        <f t="shared" si="2"/>
        <v>5</v>
      </c>
    </row>
    <row r="91" spans="3:4">
      <c r="C91">
        <f t="shared" si="1"/>
        <v>31.009999999999998</v>
      </c>
      <c r="D91">
        <f t="shared" si="2"/>
        <v>2.6</v>
      </c>
    </row>
    <row r="92" spans="3:4">
      <c r="C92">
        <f t="shared" si="1"/>
        <v>31.02</v>
      </c>
      <c r="D92">
        <f t="shared" si="2"/>
        <v>0</v>
      </c>
    </row>
    <row r="93" spans="3:4">
      <c r="C93">
        <v>32</v>
      </c>
      <c r="D93">
        <v>0</v>
      </c>
    </row>
    <row r="94" spans="3:4">
      <c r="C94">
        <v>33</v>
      </c>
      <c r="D94">
        <v>0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J9"/>
  <sheetViews>
    <sheetView workbookViewId="0">
      <selection activeCell="E14" sqref="E14"/>
    </sheetView>
  </sheetViews>
  <sheetFormatPr defaultRowHeight="13"/>
  <sheetData>
    <row r="5" spans="2:10">
      <c r="B5" t="s">
        <v>22</v>
      </c>
      <c r="C5" t="s">
        <v>20</v>
      </c>
      <c r="D5" t="s">
        <v>21</v>
      </c>
      <c r="E5" t="s">
        <v>28</v>
      </c>
    </row>
    <row r="6" spans="2:10">
      <c r="B6" t="s">
        <v>24</v>
      </c>
      <c r="C6" t="s">
        <v>25</v>
      </c>
      <c r="D6" t="s">
        <v>26</v>
      </c>
      <c r="E6">
        <v>25</v>
      </c>
    </row>
    <row r="9" spans="2:10">
      <c r="C9" t="s">
        <v>27</v>
      </c>
      <c r="E9" t="s">
        <v>23</v>
      </c>
      <c r="J9" t="s">
        <v>29</v>
      </c>
    </row>
  </sheetData>
  <phoneticPr fontId="1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AE20"/>
  <sheetViews>
    <sheetView topLeftCell="N1" zoomScale="85" zoomScaleNormal="85" workbookViewId="0">
      <selection activeCell="X17" sqref="X17"/>
    </sheetView>
  </sheetViews>
  <sheetFormatPr defaultRowHeight="13"/>
  <sheetData>
    <row r="3" spans="3:3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59</v>
      </c>
      <c r="I3" t="s">
        <v>36</v>
      </c>
      <c r="J3" t="s">
        <v>39</v>
      </c>
      <c r="L3" t="s">
        <v>60</v>
      </c>
      <c r="M3" t="s">
        <v>61</v>
      </c>
      <c r="N3" t="s">
        <v>62</v>
      </c>
      <c r="O3" t="s">
        <v>63</v>
      </c>
      <c r="P3" t="s">
        <v>64</v>
      </c>
      <c r="T3" t="s">
        <v>66</v>
      </c>
      <c r="U3" t="s">
        <v>67</v>
      </c>
      <c r="V3" t="s">
        <v>68</v>
      </c>
      <c r="W3" t="s">
        <v>69</v>
      </c>
      <c r="X3" t="s">
        <v>58</v>
      </c>
    </row>
    <row r="4" spans="3:31">
      <c r="C4" t="s">
        <v>57</v>
      </c>
      <c r="D4">
        <v>5</v>
      </c>
      <c r="E4">
        <v>25</v>
      </c>
      <c r="F4" t="s">
        <v>33</v>
      </c>
      <c r="G4" t="s">
        <v>33</v>
      </c>
      <c r="I4">
        <v>4.8</v>
      </c>
      <c r="J4">
        <v>100</v>
      </c>
      <c r="L4" t="s">
        <v>65</v>
      </c>
      <c r="M4">
        <v>4.5999999999999996</v>
      </c>
      <c r="N4">
        <v>4.8</v>
      </c>
      <c r="O4">
        <v>5</v>
      </c>
      <c r="R4" t="s">
        <v>72</v>
      </c>
      <c r="S4" t="s">
        <v>40</v>
      </c>
      <c r="T4">
        <v>4.5</v>
      </c>
      <c r="U4">
        <v>-40</v>
      </c>
      <c r="V4" t="s">
        <v>70</v>
      </c>
      <c r="W4" t="s">
        <v>70</v>
      </c>
      <c r="Z4" t="s">
        <v>74</v>
      </c>
      <c r="AA4" t="s">
        <v>48</v>
      </c>
      <c r="AB4">
        <v>4.5</v>
      </c>
      <c r="AC4">
        <v>150</v>
      </c>
      <c r="AD4" t="s">
        <v>71</v>
      </c>
      <c r="AE4" t="s">
        <v>71</v>
      </c>
    </row>
    <row r="5" spans="3:3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4.5999999999999996</v>
      </c>
      <c r="J5">
        <v>2000</v>
      </c>
      <c r="L5" t="s">
        <v>38</v>
      </c>
      <c r="M5">
        <v>24</v>
      </c>
      <c r="N5">
        <v>100</v>
      </c>
      <c r="O5">
        <v>245789</v>
      </c>
      <c r="R5" t="s">
        <v>72</v>
      </c>
      <c r="S5" t="s">
        <v>43</v>
      </c>
      <c r="T5">
        <v>4.5</v>
      </c>
      <c r="U5">
        <v>-40</v>
      </c>
      <c r="V5" t="s">
        <v>71</v>
      </c>
      <c r="W5" t="s">
        <v>70</v>
      </c>
      <c r="Z5" t="s">
        <v>74</v>
      </c>
      <c r="AA5" t="s">
        <v>51</v>
      </c>
      <c r="AB5">
        <v>5.5</v>
      </c>
      <c r="AC5">
        <v>-40</v>
      </c>
      <c r="AD5" t="s">
        <v>71</v>
      </c>
      <c r="AE5" t="s">
        <v>70</v>
      </c>
    </row>
    <row r="6" spans="3:31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</v>
      </c>
      <c r="J6">
        <v>25</v>
      </c>
      <c r="K6" s="2"/>
      <c r="Z6" t="s">
        <v>74</v>
      </c>
      <c r="AA6" t="s">
        <v>56</v>
      </c>
      <c r="AB6">
        <v>5.5</v>
      </c>
      <c r="AC6">
        <v>150</v>
      </c>
      <c r="AD6" t="s">
        <v>71</v>
      </c>
      <c r="AE6" t="s">
        <v>71</v>
      </c>
    </row>
    <row r="7" spans="3:31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4.5999999999999996</v>
      </c>
      <c r="J7">
        <v>50</v>
      </c>
      <c r="R7" t="s">
        <v>73</v>
      </c>
      <c r="S7" t="s">
        <v>49</v>
      </c>
      <c r="T7">
        <v>5.5</v>
      </c>
      <c r="U7">
        <v>-40</v>
      </c>
      <c r="V7" t="s">
        <v>70</v>
      </c>
      <c r="W7" t="s">
        <v>70</v>
      </c>
    </row>
    <row r="8" spans="3:31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4.8</v>
      </c>
      <c r="J8">
        <v>48</v>
      </c>
      <c r="Z8" t="s">
        <v>75</v>
      </c>
      <c r="AA8" t="s">
        <v>53</v>
      </c>
      <c r="AB8">
        <v>5.5</v>
      </c>
      <c r="AC8">
        <v>150</v>
      </c>
      <c r="AD8" t="s">
        <v>70</v>
      </c>
      <c r="AE8" t="s">
        <v>70</v>
      </c>
    </row>
    <row r="9" spans="3:31">
      <c r="C9" t="s">
        <v>45</v>
      </c>
      <c r="D9">
        <v>4.5</v>
      </c>
      <c r="E9">
        <v>150</v>
      </c>
      <c r="F9" t="s">
        <v>34</v>
      </c>
      <c r="G9" t="s">
        <v>34</v>
      </c>
      <c r="I9">
        <v>4.7</v>
      </c>
      <c r="J9">
        <v>300</v>
      </c>
    </row>
    <row r="10" spans="3:31">
      <c r="C10" t="s">
        <v>46</v>
      </c>
      <c r="D10">
        <v>4.5</v>
      </c>
      <c r="E10">
        <v>150</v>
      </c>
      <c r="F10" t="s">
        <v>34</v>
      </c>
      <c r="G10" t="s">
        <v>35</v>
      </c>
      <c r="I10">
        <v>4.8</v>
      </c>
      <c r="J10">
        <v>48</v>
      </c>
    </row>
    <row r="11" spans="3:31">
      <c r="C11" t="s">
        <v>47</v>
      </c>
      <c r="D11">
        <v>4.5</v>
      </c>
      <c r="E11">
        <v>150</v>
      </c>
      <c r="F11" t="s">
        <v>35</v>
      </c>
      <c r="G11" t="s">
        <v>34</v>
      </c>
      <c r="I11">
        <v>4.8</v>
      </c>
      <c r="J11">
        <v>985</v>
      </c>
    </row>
    <row r="12" spans="3:31">
      <c r="C12" t="s">
        <v>48</v>
      </c>
      <c r="D12">
        <v>4.5</v>
      </c>
      <c r="E12">
        <v>150</v>
      </c>
      <c r="F12" t="s">
        <v>35</v>
      </c>
      <c r="G12" t="s">
        <v>35</v>
      </c>
      <c r="I12">
        <v>5</v>
      </c>
      <c r="J12">
        <v>49</v>
      </c>
    </row>
    <row r="13" spans="3:31">
      <c r="C13" t="s">
        <v>49</v>
      </c>
      <c r="D13">
        <v>5.5</v>
      </c>
      <c r="E13">
        <v>-40</v>
      </c>
      <c r="F13" t="s">
        <v>34</v>
      </c>
      <c r="G13" t="s">
        <v>34</v>
      </c>
      <c r="I13">
        <v>4.7</v>
      </c>
      <c r="J13">
        <v>24</v>
      </c>
    </row>
    <row r="14" spans="3:31">
      <c r="C14" t="s">
        <v>50</v>
      </c>
      <c r="D14">
        <v>5.5</v>
      </c>
      <c r="E14">
        <v>-40</v>
      </c>
      <c r="F14" t="s">
        <v>34</v>
      </c>
      <c r="G14" t="s">
        <v>35</v>
      </c>
      <c r="I14">
        <v>4.8</v>
      </c>
      <c r="J14">
        <v>9583</v>
      </c>
    </row>
    <row r="15" spans="3:31">
      <c r="C15" t="s">
        <v>51</v>
      </c>
      <c r="D15">
        <v>5.5</v>
      </c>
      <c r="E15">
        <v>-40</v>
      </c>
      <c r="F15" t="s">
        <v>35</v>
      </c>
      <c r="G15" t="s">
        <v>34</v>
      </c>
      <c r="I15">
        <v>5</v>
      </c>
      <c r="J15">
        <v>48</v>
      </c>
    </row>
    <row r="16" spans="3:31">
      <c r="C16" t="s">
        <v>52</v>
      </c>
      <c r="D16">
        <v>5.5</v>
      </c>
      <c r="E16">
        <v>-40</v>
      </c>
      <c r="F16" t="s">
        <v>35</v>
      </c>
      <c r="G16" t="s">
        <v>35</v>
      </c>
      <c r="I16">
        <v>4.9000000000000004</v>
      </c>
      <c r="J16">
        <v>2105</v>
      </c>
    </row>
    <row r="17" spans="3:10">
      <c r="C17" t="s">
        <v>53</v>
      </c>
      <c r="D17">
        <v>5.5</v>
      </c>
      <c r="E17">
        <v>150</v>
      </c>
      <c r="F17" t="s">
        <v>34</v>
      </c>
      <c r="G17" t="s">
        <v>34</v>
      </c>
      <c r="I17">
        <v>4.8</v>
      </c>
      <c r="J17">
        <v>245789</v>
      </c>
    </row>
    <row r="18" spans="3:10">
      <c r="C18" t="s">
        <v>54</v>
      </c>
      <c r="D18">
        <v>5.5</v>
      </c>
      <c r="E18">
        <v>150</v>
      </c>
      <c r="F18" t="s">
        <v>34</v>
      </c>
      <c r="G18" t="s">
        <v>35</v>
      </c>
      <c r="I18">
        <v>4.9000000000000004</v>
      </c>
      <c r="J18">
        <v>4518</v>
      </c>
    </row>
    <row r="19" spans="3:10">
      <c r="C19" t="s">
        <v>55</v>
      </c>
      <c r="D19">
        <v>5.5</v>
      </c>
      <c r="E19">
        <v>150</v>
      </c>
      <c r="F19" t="s">
        <v>35</v>
      </c>
      <c r="G19" t="s">
        <v>34</v>
      </c>
      <c r="I19">
        <v>4.9000000000000004</v>
      </c>
      <c r="J19">
        <v>546</v>
      </c>
    </row>
    <row r="20" spans="3:10">
      <c r="C20" t="s">
        <v>56</v>
      </c>
      <c r="D20">
        <v>5.5</v>
      </c>
      <c r="E20">
        <v>150</v>
      </c>
      <c r="F20" t="s">
        <v>35</v>
      </c>
      <c r="G20" t="s">
        <v>35</v>
      </c>
      <c r="I20">
        <v>5</v>
      </c>
      <c r="J20">
        <v>846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AE135"/>
  <sheetViews>
    <sheetView topLeftCell="A4" zoomScale="55" zoomScaleNormal="55" workbookViewId="0">
      <selection activeCell="N21" sqref="N21"/>
    </sheetView>
  </sheetViews>
  <sheetFormatPr defaultRowHeight="13"/>
  <cols>
    <col min="26" max="26" width="18.54296875" bestFit="1" customWidth="1"/>
  </cols>
  <sheetData>
    <row r="2" spans="3:31" ht="13.5" thickBot="1"/>
    <row r="3" spans="3:3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L3" s="5" t="s">
        <v>60</v>
      </c>
      <c r="M3" s="6" t="s">
        <v>61</v>
      </c>
      <c r="N3" s="6" t="s">
        <v>62</v>
      </c>
      <c r="O3" s="6" t="s">
        <v>63</v>
      </c>
      <c r="P3" s="7" t="s">
        <v>94</v>
      </c>
      <c r="T3" t="s">
        <v>66</v>
      </c>
      <c r="U3" t="s">
        <v>67</v>
      </c>
      <c r="V3" t="s">
        <v>68</v>
      </c>
      <c r="W3" t="s">
        <v>69</v>
      </c>
      <c r="X3" t="s">
        <v>81</v>
      </c>
    </row>
    <row r="4" spans="3:31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L4" s="8" t="s">
        <v>65</v>
      </c>
      <c r="M4" s="3">
        <v>4.4000000000000004</v>
      </c>
      <c r="N4" s="3">
        <v>4.8</v>
      </c>
      <c r="O4" s="3">
        <v>6000000</v>
      </c>
      <c r="P4" s="9" t="s">
        <v>95</v>
      </c>
      <c r="R4" t="s">
        <v>72</v>
      </c>
      <c r="S4" t="s">
        <v>51</v>
      </c>
      <c r="T4">
        <v>5.5</v>
      </c>
      <c r="U4">
        <v>-40</v>
      </c>
      <c r="V4" t="s">
        <v>70</v>
      </c>
      <c r="W4" t="s">
        <v>70</v>
      </c>
      <c r="Z4" t="s">
        <v>74</v>
      </c>
      <c r="AA4" t="s">
        <v>44</v>
      </c>
      <c r="AB4">
        <v>4.5</v>
      </c>
      <c r="AC4">
        <v>-40</v>
      </c>
      <c r="AD4" t="s">
        <v>71</v>
      </c>
      <c r="AE4" t="s">
        <v>71</v>
      </c>
    </row>
    <row r="5" spans="3:31" ht="13.5" thickBot="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L5" s="10" t="s">
        <v>38</v>
      </c>
      <c r="M5" s="11">
        <v>2.4E-2</v>
      </c>
      <c r="N5" s="11">
        <v>1</v>
      </c>
      <c r="O5" s="11">
        <v>245.78900000000002</v>
      </c>
      <c r="P5" s="4" t="s">
        <v>96</v>
      </c>
    </row>
    <row r="6" spans="3:31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R6" t="s">
        <v>73</v>
      </c>
      <c r="S6" t="s">
        <v>51</v>
      </c>
      <c r="T6">
        <v>5.5</v>
      </c>
      <c r="U6">
        <v>-40</v>
      </c>
      <c r="V6" t="s">
        <v>70</v>
      </c>
      <c r="W6" t="s">
        <v>70</v>
      </c>
      <c r="Z6" t="s">
        <v>75</v>
      </c>
      <c r="AA6" t="s">
        <v>56</v>
      </c>
      <c r="AB6">
        <v>5.5</v>
      </c>
      <c r="AC6">
        <v>150</v>
      </c>
      <c r="AD6" t="s">
        <v>70</v>
      </c>
      <c r="AE6" t="s">
        <v>70</v>
      </c>
    </row>
    <row r="7" spans="3:31" ht="13.5" thickBot="1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L7" t="s">
        <v>97</v>
      </c>
    </row>
    <row r="8" spans="3:31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6000</v>
      </c>
      <c r="J8">
        <v>48</v>
      </c>
      <c r="L8" s="5" t="s">
        <v>65</v>
      </c>
      <c r="M8" s="6">
        <v>4.5999999999999996</v>
      </c>
      <c r="N8" s="6">
        <v>4.6500000000000004</v>
      </c>
      <c r="O8" s="6">
        <v>60000</v>
      </c>
      <c r="P8" s="7" t="s">
        <v>95</v>
      </c>
    </row>
    <row r="9" spans="3:31" ht="13.5" thickBot="1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  <c r="L9" s="10" t="s">
        <v>38</v>
      </c>
      <c r="M9" s="11">
        <v>2.5000000000000001E-2</v>
      </c>
      <c r="N9" s="11">
        <v>0.2</v>
      </c>
      <c r="O9" s="11">
        <v>2</v>
      </c>
      <c r="P9" s="4" t="s">
        <v>96</v>
      </c>
    </row>
    <row r="10" spans="3:31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</row>
    <row r="11" spans="3:31" ht="13.5" thickBot="1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500</v>
      </c>
      <c r="J11">
        <v>48</v>
      </c>
      <c r="L11" t="s">
        <v>98</v>
      </c>
    </row>
    <row r="12" spans="3:31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  <c r="L12" s="5" t="s">
        <v>65</v>
      </c>
      <c r="M12" s="6">
        <v>4.4000000000000004</v>
      </c>
      <c r="N12" s="6">
        <v>4.7</v>
      </c>
      <c r="O12" s="6">
        <v>5</v>
      </c>
      <c r="P12" s="7" t="s">
        <v>95</v>
      </c>
    </row>
    <row r="13" spans="3:31" ht="13.5" thickBot="1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  <c r="L13" s="10" t="s">
        <v>38</v>
      </c>
      <c r="M13" s="11">
        <v>2.4E-2</v>
      </c>
      <c r="N13" s="11">
        <v>2.5</v>
      </c>
      <c r="O13" s="11">
        <v>9.5830000000000002</v>
      </c>
      <c r="P13" s="4" t="s">
        <v>96</v>
      </c>
    </row>
    <row r="14" spans="3:31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  <c r="R14" t="s">
        <v>82</v>
      </c>
      <c r="S14" t="s">
        <v>40</v>
      </c>
      <c r="T14">
        <v>4.5</v>
      </c>
      <c r="U14">
        <v>-40</v>
      </c>
      <c r="V14" t="s">
        <v>70</v>
      </c>
      <c r="W14" t="s">
        <v>70</v>
      </c>
    </row>
    <row r="15" spans="3:31" ht="13.5" thickBot="1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  <c r="L15" t="s">
        <v>99</v>
      </c>
      <c r="R15" t="s">
        <v>82</v>
      </c>
      <c r="S15" t="s">
        <v>43</v>
      </c>
      <c r="T15">
        <v>4.5</v>
      </c>
      <c r="U15">
        <v>-40</v>
      </c>
      <c r="V15" t="s">
        <v>71</v>
      </c>
      <c r="W15" t="s">
        <v>70</v>
      </c>
      <c r="Z15" t="s">
        <v>88</v>
      </c>
      <c r="AA15" t="s">
        <v>40</v>
      </c>
      <c r="AB15">
        <v>4.5</v>
      </c>
      <c r="AC15">
        <v>-40</v>
      </c>
      <c r="AD15" t="s">
        <v>70</v>
      </c>
      <c r="AE15" t="s">
        <v>70</v>
      </c>
    </row>
    <row r="16" spans="3:31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  <c r="L16" s="5" t="s">
        <v>65</v>
      </c>
      <c r="M16" s="6">
        <v>4.8</v>
      </c>
      <c r="N16" s="6">
        <v>4.8500000000000005</v>
      </c>
      <c r="O16" s="6">
        <v>5</v>
      </c>
      <c r="P16" s="7" t="s">
        <v>95</v>
      </c>
    </row>
    <row r="17" spans="3:31" ht="13.5" thickBot="1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  <c r="L17" s="10" t="s">
        <v>38</v>
      </c>
      <c r="M17" s="11">
        <v>0.54600000000000004</v>
      </c>
      <c r="N17" s="11">
        <v>0.70000000000000007</v>
      </c>
      <c r="O17" s="11">
        <v>245.78900000000002</v>
      </c>
      <c r="P17" s="4" t="s">
        <v>96</v>
      </c>
      <c r="R17" t="s">
        <v>89</v>
      </c>
      <c r="S17" t="s">
        <v>42</v>
      </c>
      <c r="T17">
        <v>4.5</v>
      </c>
      <c r="U17">
        <v>-40</v>
      </c>
      <c r="V17" t="s">
        <v>70</v>
      </c>
      <c r="W17" t="s">
        <v>71</v>
      </c>
    </row>
    <row r="18" spans="3:31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</row>
    <row r="19" spans="3:31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</row>
    <row r="20" spans="3:31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</row>
    <row r="21" spans="3:31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</row>
    <row r="22" spans="3:31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</row>
    <row r="23" spans="3:31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</row>
    <row r="24" spans="3:31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  <c r="R24" t="s">
        <v>84</v>
      </c>
      <c r="S24" t="s">
        <v>51</v>
      </c>
      <c r="T24">
        <v>5.5</v>
      </c>
      <c r="U24">
        <v>-40</v>
      </c>
      <c r="V24" t="s">
        <v>70</v>
      </c>
      <c r="W24" t="s">
        <v>70</v>
      </c>
      <c r="Z24" t="s">
        <v>85</v>
      </c>
      <c r="AA24" t="s">
        <v>53</v>
      </c>
      <c r="AB24">
        <v>5.5</v>
      </c>
      <c r="AC24">
        <v>-40</v>
      </c>
      <c r="AD24" t="s">
        <v>71</v>
      </c>
      <c r="AE24" t="s">
        <v>70</v>
      </c>
    </row>
    <row r="26" spans="3:31">
      <c r="C26" t="s">
        <v>102</v>
      </c>
      <c r="R26" t="s">
        <v>90</v>
      </c>
      <c r="S26" t="s">
        <v>51</v>
      </c>
      <c r="T26">
        <v>5.5</v>
      </c>
      <c r="U26">
        <v>-40</v>
      </c>
      <c r="V26" t="s">
        <v>70</v>
      </c>
      <c r="W26" t="s">
        <v>70</v>
      </c>
      <c r="Z26" t="s">
        <v>91</v>
      </c>
      <c r="AA26" t="s">
        <v>52</v>
      </c>
      <c r="AB26">
        <v>5.5</v>
      </c>
      <c r="AC26">
        <v>-40</v>
      </c>
      <c r="AD26" t="s">
        <v>70</v>
      </c>
      <c r="AE26" t="s">
        <v>71</v>
      </c>
    </row>
    <row r="27" spans="3:31">
      <c r="C27" t="s">
        <v>123</v>
      </c>
    </row>
    <row r="28" spans="3:31">
      <c r="C28" t="s">
        <v>124</v>
      </c>
    </row>
    <row r="29" spans="3:31">
      <c r="C29" t="s">
        <v>100</v>
      </c>
    </row>
    <row r="30" spans="3:31">
      <c r="C30" t="s">
        <v>101</v>
      </c>
    </row>
    <row r="32" spans="3:31">
      <c r="C32" t="s">
        <v>103</v>
      </c>
    </row>
    <row r="33" spans="3:31">
      <c r="C33" t="s">
        <v>124</v>
      </c>
    </row>
    <row r="34" spans="3:31">
      <c r="C34" t="s">
        <v>100</v>
      </c>
      <c r="R34" t="s">
        <v>86</v>
      </c>
      <c r="S34" t="s">
        <v>56</v>
      </c>
      <c r="T34">
        <v>5.5</v>
      </c>
      <c r="U34">
        <v>150</v>
      </c>
      <c r="V34" t="s">
        <v>70</v>
      </c>
      <c r="W34" t="s">
        <v>70</v>
      </c>
      <c r="Z34" t="s">
        <v>87</v>
      </c>
      <c r="AA34" t="s">
        <v>79</v>
      </c>
      <c r="AB34">
        <v>5.5</v>
      </c>
      <c r="AC34">
        <v>150</v>
      </c>
      <c r="AD34" t="s">
        <v>71</v>
      </c>
      <c r="AE34" t="s">
        <v>71</v>
      </c>
    </row>
    <row r="35" spans="3:31">
      <c r="C35" t="s">
        <v>125</v>
      </c>
    </row>
    <row r="36" spans="3:31">
      <c r="R36" t="s">
        <v>93</v>
      </c>
      <c r="S36" t="s">
        <v>78</v>
      </c>
      <c r="T36">
        <v>5.5</v>
      </c>
      <c r="U36">
        <v>150</v>
      </c>
      <c r="V36" t="s">
        <v>71</v>
      </c>
      <c r="W36" t="s">
        <v>70</v>
      </c>
      <c r="Z36" t="s">
        <v>92</v>
      </c>
      <c r="AA36" t="s">
        <v>56</v>
      </c>
      <c r="AB36">
        <v>5.5</v>
      </c>
      <c r="AC36">
        <v>150</v>
      </c>
      <c r="AD36" t="s">
        <v>70</v>
      </c>
      <c r="AE36" t="s">
        <v>70</v>
      </c>
    </row>
    <row r="37" spans="3:31">
      <c r="C37" t="s">
        <v>104</v>
      </c>
    </row>
    <row r="38" spans="3:31">
      <c r="C38" t="s">
        <v>123</v>
      </c>
    </row>
    <row r="39" spans="3:31">
      <c r="C39" t="s">
        <v>124</v>
      </c>
    </row>
    <row r="40" spans="3:31">
      <c r="C40" t="s">
        <v>126</v>
      </c>
    </row>
    <row r="41" spans="3:31">
      <c r="C41" t="s">
        <v>101</v>
      </c>
    </row>
    <row r="43" spans="3:31">
      <c r="C43" t="s">
        <v>105</v>
      </c>
    </row>
    <row r="44" spans="3:31">
      <c r="C44" t="s">
        <v>123</v>
      </c>
    </row>
    <row r="45" spans="3:31">
      <c r="C45" t="s">
        <v>124</v>
      </c>
    </row>
    <row r="46" spans="3:31">
      <c r="C46" t="s">
        <v>126</v>
      </c>
    </row>
    <row r="47" spans="3:31">
      <c r="C47" t="s">
        <v>125</v>
      </c>
    </row>
    <row r="49" spans="3:3">
      <c r="C49" t="s">
        <v>106</v>
      </c>
    </row>
    <row r="50" spans="3:3">
      <c r="C50" t="s">
        <v>123</v>
      </c>
    </row>
    <row r="51" spans="3:3">
      <c r="C51" t="s">
        <v>124</v>
      </c>
    </row>
    <row r="53" spans="3:3">
      <c r="C53" t="s">
        <v>107</v>
      </c>
    </row>
    <row r="54" spans="3:3">
      <c r="C54" t="s">
        <v>123</v>
      </c>
    </row>
    <row r="55" spans="3:3">
      <c r="C55" t="s">
        <v>127</v>
      </c>
    </row>
    <row r="56" spans="3:3">
      <c r="C56" t="s">
        <v>100</v>
      </c>
    </row>
    <row r="57" spans="3:3">
      <c r="C57" t="s">
        <v>101</v>
      </c>
    </row>
    <row r="59" spans="3:3">
      <c r="C59" t="s">
        <v>108</v>
      </c>
    </row>
    <row r="60" spans="3:3">
      <c r="C60" t="s">
        <v>123</v>
      </c>
    </row>
    <row r="61" spans="3:3">
      <c r="C61" t="s">
        <v>127</v>
      </c>
    </row>
    <row r="62" spans="3:3">
      <c r="C62" t="s">
        <v>100</v>
      </c>
    </row>
    <row r="63" spans="3:3">
      <c r="C63" t="s">
        <v>125</v>
      </c>
    </row>
    <row r="65" spans="3:3">
      <c r="C65" t="s">
        <v>109</v>
      </c>
    </row>
    <row r="66" spans="3:3">
      <c r="C66" t="s">
        <v>123</v>
      </c>
    </row>
    <row r="67" spans="3:3">
      <c r="C67" t="s">
        <v>127</v>
      </c>
    </row>
    <row r="68" spans="3:3">
      <c r="C68" t="s">
        <v>126</v>
      </c>
    </row>
    <row r="69" spans="3:3">
      <c r="C69" t="s">
        <v>101</v>
      </c>
    </row>
    <row r="71" spans="3:3">
      <c r="C71" t="s">
        <v>110</v>
      </c>
    </row>
    <row r="72" spans="3:3">
      <c r="C72" t="s">
        <v>123</v>
      </c>
    </row>
    <row r="73" spans="3:3">
      <c r="C73" t="s">
        <v>127</v>
      </c>
    </row>
    <row r="74" spans="3:3">
      <c r="C74" t="s">
        <v>126</v>
      </c>
    </row>
    <row r="75" spans="3:3">
      <c r="C75" t="s">
        <v>125</v>
      </c>
    </row>
    <row r="77" spans="3:3">
      <c r="C77" t="s">
        <v>111</v>
      </c>
    </row>
    <row r="78" spans="3:3">
      <c r="C78" t="s">
        <v>123</v>
      </c>
    </row>
    <row r="79" spans="3:3">
      <c r="C79" t="s">
        <v>127</v>
      </c>
    </row>
    <row r="81" spans="3:3">
      <c r="C81" t="s">
        <v>112</v>
      </c>
    </row>
    <row r="82" spans="3:3">
      <c r="C82" t="s">
        <v>122</v>
      </c>
    </row>
    <row r="83" spans="3:3">
      <c r="C83" t="s">
        <v>124</v>
      </c>
    </row>
    <row r="84" spans="3:3">
      <c r="C84" t="s">
        <v>100</v>
      </c>
    </row>
    <row r="85" spans="3:3">
      <c r="C85" t="s">
        <v>101</v>
      </c>
    </row>
    <row r="87" spans="3:3">
      <c r="C87" t="s">
        <v>113</v>
      </c>
    </row>
    <row r="88" spans="3:3">
      <c r="C88" t="s">
        <v>122</v>
      </c>
    </row>
    <row r="89" spans="3:3">
      <c r="C89" t="s">
        <v>124</v>
      </c>
    </row>
    <row r="90" spans="3:3">
      <c r="C90" t="s">
        <v>100</v>
      </c>
    </row>
    <row r="91" spans="3:3">
      <c r="C91" t="s">
        <v>125</v>
      </c>
    </row>
    <row r="93" spans="3:3">
      <c r="C93" t="s">
        <v>114</v>
      </c>
    </row>
    <row r="94" spans="3:3">
      <c r="C94" t="s">
        <v>122</v>
      </c>
    </row>
    <row r="95" spans="3:3">
      <c r="C95" t="s">
        <v>124</v>
      </c>
    </row>
    <row r="96" spans="3:3">
      <c r="C96" t="s">
        <v>126</v>
      </c>
    </row>
    <row r="97" spans="3:3">
      <c r="C97" t="s">
        <v>101</v>
      </c>
    </row>
    <row r="99" spans="3:3">
      <c r="C99" t="s">
        <v>115</v>
      </c>
    </row>
    <row r="100" spans="3:3">
      <c r="C100" t="s">
        <v>122</v>
      </c>
    </row>
    <row r="101" spans="3:3">
      <c r="C101" t="s">
        <v>124</v>
      </c>
    </row>
    <row r="102" spans="3:3">
      <c r="C102" t="s">
        <v>126</v>
      </c>
    </row>
    <row r="103" spans="3:3">
      <c r="C103" t="s">
        <v>125</v>
      </c>
    </row>
    <row r="105" spans="3:3">
      <c r="C105" t="s">
        <v>116</v>
      </c>
    </row>
    <row r="106" spans="3:3">
      <c r="C106" t="s">
        <v>122</v>
      </c>
    </row>
    <row r="107" spans="3:3">
      <c r="C107" t="s">
        <v>124</v>
      </c>
    </row>
    <row r="109" spans="3:3">
      <c r="C109" t="s">
        <v>117</v>
      </c>
    </row>
    <row r="110" spans="3:3">
      <c r="C110" t="s">
        <v>122</v>
      </c>
    </row>
    <row r="111" spans="3:3">
      <c r="C111" t="s">
        <v>127</v>
      </c>
    </row>
    <row r="112" spans="3:3">
      <c r="C112" t="s">
        <v>100</v>
      </c>
    </row>
    <row r="113" spans="3:3">
      <c r="C113" t="s">
        <v>101</v>
      </c>
    </row>
    <row r="115" spans="3:3">
      <c r="C115" t="s">
        <v>118</v>
      </c>
    </row>
    <row r="116" spans="3:3">
      <c r="C116" t="s">
        <v>122</v>
      </c>
    </row>
    <row r="117" spans="3:3">
      <c r="C117" t="s">
        <v>127</v>
      </c>
    </row>
    <row r="118" spans="3:3">
      <c r="C118" t="s">
        <v>100</v>
      </c>
    </row>
    <row r="119" spans="3:3">
      <c r="C119" t="s">
        <v>125</v>
      </c>
    </row>
    <row r="121" spans="3:3">
      <c r="C121" t="s">
        <v>119</v>
      </c>
    </row>
    <row r="122" spans="3:3">
      <c r="C122" t="s">
        <v>122</v>
      </c>
    </row>
    <row r="123" spans="3:3">
      <c r="C123" t="s">
        <v>127</v>
      </c>
    </row>
    <row r="124" spans="3:3">
      <c r="C124" t="s">
        <v>126</v>
      </c>
    </row>
    <row r="125" spans="3:3">
      <c r="C125" t="s">
        <v>101</v>
      </c>
    </row>
    <row r="127" spans="3:3">
      <c r="C127" t="s">
        <v>120</v>
      </c>
    </row>
    <row r="128" spans="3:3">
      <c r="C128" t="s">
        <v>122</v>
      </c>
    </row>
    <row r="129" spans="3:3">
      <c r="C129" t="s">
        <v>127</v>
      </c>
    </row>
    <row r="130" spans="3:3">
      <c r="C130" t="s">
        <v>126</v>
      </c>
    </row>
    <row r="131" spans="3:3">
      <c r="C131" t="s">
        <v>125</v>
      </c>
    </row>
    <row r="133" spans="3:3">
      <c r="C133" t="s">
        <v>121</v>
      </c>
    </row>
    <row r="134" spans="3:3">
      <c r="C134" t="s">
        <v>122</v>
      </c>
    </row>
    <row r="135" spans="3:3">
      <c r="C135" t="s">
        <v>127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P50"/>
  <sheetViews>
    <sheetView topLeftCell="J1" zoomScale="70" zoomScaleNormal="70" workbookViewId="0">
      <selection activeCell="W8" sqref="W8"/>
    </sheetView>
  </sheetViews>
  <sheetFormatPr defaultRowHeight="13"/>
  <cols>
    <col min="13" max="25" width="8.7265625" style="46"/>
    <col min="26" max="26" width="18.54296875" style="46" bestFit="1" customWidth="1"/>
    <col min="27" max="16384" width="8.7265625" style="46"/>
  </cols>
  <sheetData>
    <row r="2" spans="3:42" ht="13.5" thickBot="1">
      <c r="L2" s="46"/>
      <c r="P2" s="46" t="s">
        <v>128</v>
      </c>
      <c r="S2" s="46" t="s">
        <v>129</v>
      </c>
    </row>
    <row r="3" spans="3:42" ht="13.5" thickBot="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L3" s="46"/>
      <c r="M3" s="15" t="s">
        <v>60</v>
      </c>
      <c r="N3" s="17"/>
      <c r="O3" s="16" t="s">
        <v>94</v>
      </c>
      <c r="P3" s="17" t="s">
        <v>61</v>
      </c>
      <c r="Q3" s="17" t="s">
        <v>62</v>
      </c>
      <c r="R3" s="17" t="s">
        <v>63</v>
      </c>
      <c r="S3" s="15" t="s">
        <v>61</v>
      </c>
      <c r="T3" s="17" t="s">
        <v>62</v>
      </c>
      <c r="U3" s="18" t="s">
        <v>63</v>
      </c>
      <c r="V3" s="18" t="s">
        <v>130</v>
      </c>
      <c r="Z3" s="46" t="s">
        <v>66</v>
      </c>
      <c r="AA3" s="46" t="s">
        <v>67</v>
      </c>
      <c r="AB3" s="46" t="s">
        <v>68</v>
      </c>
      <c r="AC3" s="46" t="s">
        <v>69</v>
      </c>
      <c r="AD3" s="46" t="s">
        <v>81</v>
      </c>
      <c r="AE3" s="46" t="s">
        <v>65</v>
      </c>
      <c r="AF3" s="46" t="s">
        <v>38</v>
      </c>
    </row>
    <row r="4" spans="3:42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L4" s="46"/>
      <c r="M4" s="38" t="s">
        <v>65</v>
      </c>
      <c r="N4" s="34"/>
      <c r="O4" s="44" t="s">
        <v>95</v>
      </c>
      <c r="P4" s="34"/>
      <c r="Q4" s="34"/>
      <c r="R4" s="34"/>
      <c r="S4" s="38">
        <v>4.4000000000000004</v>
      </c>
      <c r="T4" s="34">
        <v>4.8</v>
      </c>
      <c r="U4" s="39">
        <v>5</v>
      </c>
      <c r="V4" s="39"/>
      <c r="X4" s="46" t="s">
        <v>72</v>
      </c>
      <c r="Y4" s="46" t="s">
        <v>51</v>
      </c>
      <c r="Z4" s="46">
        <v>5.5</v>
      </c>
      <c r="AA4" s="46">
        <v>-40</v>
      </c>
      <c r="AB4" s="46" t="s">
        <v>70</v>
      </c>
      <c r="AC4" s="46" t="s">
        <v>70</v>
      </c>
      <c r="AE4" s="46">
        <v>4.4000000000000003E-3</v>
      </c>
      <c r="AF4" s="46">
        <v>24</v>
      </c>
      <c r="AH4" s="46" t="s">
        <v>74</v>
      </c>
      <c r="AI4" s="46" t="s">
        <v>53</v>
      </c>
      <c r="AJ4" s="46">
        <v>5.5</v>
      </c>
      <c r="AK4" s="46">
        <v>-40</v>
      </c>
      <c r="AL4" s="46" t="s">
        <v>71</v>
      </c>
      <c r="AM4" s="46" t="s">
        <v>70</v>
      </c>
      <c r="AO4" s="46">
        <v>5.0000000000000001E-3</v>
      </c>
      <c r="AP4" s="46">
        <v>48</v>
      </c>
    </row>
    <row r="5" spans="3:42" ht="13.5" thickBot="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L5" s="46"/>
      <c r="M5" s="40" t="s">
        <v>38</v>
      </c>
      <c r="N5" s="41"/>
      <c r="O5" s="45" t="s">
        <v>96</v>
      </c>
      <c r="P5" s="41"/>
      <c r="Q5" s="41"/>
      <c r="R5" s="41"/>
      <c r="S5" s="40">
        <v>2.4E-2</v>
      </c>
      <c r="T5" s="41">
        <v>1</v>
      </c>
      <c r="U5" s="42">
        <v>245.78900000000002</v>
      </c>
      <c r="V5" s="42"/>
      <c r="AH5" s="46" t="s">
        <v>74</v>
      </c>
      <c r="AI5" s="46" t="s">
        <v>79</v>
      </c>
      <c r="AJ5" s="46">
        <v>5.5</v>
      </c>
      <c r="AK5" s="46">
        <v>150</v>
      </c>
      <c r="AL5" s="46" t="s">
        <v>71</v>
      </c>
      <c r="AM5" s="46" t="s">
        <v>71</v>
      </c>
      <c r="AO5" s="46">
        <v>5.0000000000000001E-3</v>
      </c>
      <c r="AP5" s="46">
        <v>846</v>
      </c>
    </row>
    <row r="6" spans="3:42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L6" s="46"/>
      <c r="X6" s="46" t="s">
        <v>73</v>
      </c>
      <c r="Y6" s="46" t="s">
        <v>51</v>
      </c>
      <c r="Z6" s="46">
        <v>5.5</v>
      </c>
      <c r="AA6" s="46">
        <v>-40</v>
      </c>
      <c r="AB6" s="46" t="s">
        <v>70</v>
      </c>
      <c r="AC6" s="46" t="s">
        <v>70</v>
      </c>
      <c r="AE6" s="46">
        <v>4.4000000000000003E-3</v>
      </c>
      <c r="AF6" s="46">
        <v>24</v>
      </c>
    </row>
    <row r="7" spans="3:42" ht="13.5" thickBot="1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L7" s="46"/>
      <c r="M7" s="46" t="s">
        <v>619</v>
      </c>
      <c r="AH7" s="46" t="s">
        <v>75</v>
      </c>
      <c r="AI7" s="46" t="s">
        <v>56</v>
      </c>
      <c r="AJ7" s="46">
        <v>5.5</v>
      </c>
      <c r="AK7" s="46">
        <v>150</v>
      </c>
      <c r="AL7" s="46" t="s">
        <v>70</v>
      </c>
      <c r="AM7" s="46" t="s">
        <v>70</v>
      </c>
      <c r="AO7" s="46">
        <v>4.7999999999999996E-3</v>
      </c>
      <c r="AP7" s="46">
        <v>245789</v>
      </c>
    </row>
    <row r="8" spans="3:42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4.7999999999999996E-3</v>
      </c>
      <c r="J8">
        <v>48</v>
      </c>
      <c r="L8" s="46"/>
      <c r="M8" s="35" t="s">
        <v>65</v>
      </c>
      <c r="N8" s="36"/>
      <c r="O8" s="43" t="s">
        <v>95</v>
      </c>
      <c r="P8" s="36"/>
      <c r="Q8" s="36"/>
      <c r="R8" s="36"/>
      <c r="S8" s="35">
        <v>4.5999999999999996</v>
      </c>
      <c r="T8" s="36">
        <v>4.6500000000000004</v>
      </c>
      <c r="U8" s="37">
        <v>4.8</v>
      </c>
      <c r="V8" s="37"/>
    </row>
    <row r="9" spans="3:42" ht="13.5" thickBot="1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  <c r="L9" s="46"/>
      <c r="M9" s="40" t="s">
        <v>38</v>
      </c>
      <c r="N9" s="41"/>
      <c r="O9" s="45" t="s">
        <v>96</v>
      </c>
      <c r="P9" s="41"/>
      <c r="Q9" s="41"/>
      <c r="R9" s="41"/>
      <c r="S9" s="40">
        <v>2.5000000000000001E-2</v>
      </c>
      <c r="T9" s="41">
        <v>0.2</v>
      </c>
      <c r="U9" s="42">
        <v>2</v>
      </c>
      <c r="V9" s="42"/>
    </row>
    <row r="10" spans="3:42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  <c r="L10" s="46"/>
    </row>
    <row r="11" spans="3:42" ht="13.5" thickBot="1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4.7000000000000002E-3</v>
      </c>
      <c r="J11">
        <v>48</v>
      </c>
      <c r="L11" s="46"/>
      <c r="M11" s="46" t="s">
        <v>620</v>
      </c>
    </row>
    <row r="12" spans="3:42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  <c r="L12" s="46"/>
      <c r="M12" s="35" t="s">
        <v>65</v>
      </c>
      <c r="N12" s="36"/>
      <c r="O12" s="43" t="s">
        <v>95</v>
      </c>
      <c r="P12" s="36"/>
      <c r="Q12" s="36"/>
      <c r="R12" s="36"/>
      <c r="S12" s="35">
        <v>4.4000000000000004</v>
      </c>
      <c r="T12" s="36">
        <v>4.7</v>
      </c>
      <c r="U12" s="37">
        <v>5</v>
      </c>
      <c r="V12" s="37"/>
    </row>
    <row r="13" spans="3:42" ht="13.5" thickBot="1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  <c r="L13" s="46"/>
      <c r="M13" s="40" t="s">
        <v>38</v>
      </c>
      <c r="N13" s="41"/>
      <c r="O13" s="45" t="s">
        <v>96</v>
      </c>
      <c r="P13" s="41"/>
      <c r="Q13" s="41"/>
      <c r="R13" s="41"/>
      <c r="S13" s="40">
        <v>2.4E-2</v>
      </c>
      <c r="T13" s="41">
        <v>2.5</v>
      </c>
      <c r="U13" s="42">
        <v>9.5830000000000002</v>
      </c>
      <c r="V13" s="42"/>
    </row>
    <row r="14" spans="3:42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  <c r="L14" s="46"/>
      <c r="X14" s="46" t="s">
        <v>82</v>
      </c>
      <c r="Y14" s="46" t="s">
        <v>40</v>
      </c>
      <c r="Z14" s="46">
        <v>4.5</v>
      </c>
      <c r="AA14" s="46">
        <v>-40</v>
      </c>
      <c r="AB14" s="46" t="s">
        <v>70</v>
      </c>
      <c r="AC14" s="46" t="s">
        <v>70</v>
      </c>
      <c r="AE14" s="46">
        <v>4.5999999999999999E-3</v>
      </c>
      <c r="AF14" s="46">
        <v>2000</v>
      </c>
      <c r="AH14" s="46" t="s">
        <v>83</v>
      </c>
      <c r="AI14" s="46" t="s">
        <v>44</v>
      </c>
      <c r="AJ14" s="46">
        <v>4.5</v>
      </c>
      <c r="AK14" s="46">
        <v>-40</v>
      </c>
      <c r="AL14" s="46" t="s">
        <v>71</v>
      </c>
      <c r="AM14" s="46" t="s">
        <v>71</v>
      </c>
      <c r="AO14" s="46">
        <v>4.7999999999999996E-3</v>
      </c>
      <c r="AP14" s="46">
        <v>48</v>
      </c>
    </row>
    <row r="15" spans="3:42" ht="13.5" thickBot="1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  <c r="L15" s="46"/>
      <c r="M15" s="46" t="s">
        <v>621</v>
      </c>
      <c r="X15" s="46" t="s">
        <v>82</v>
      </c>
      <c r="Y15" s="46" t="s">
        <v>43</v>
      </c>
      <c r="Z15" s="46">
        <v>4.5</v>
      </c>
      <c r="AA15" s="46">
        <v>-40</v>
      </c>
      <c r="AB15" s="46" t="s">
        <v>71</v>
      </c>
      <c r="AC15" s="46" t="s">
        <v>70</v>
      </c>
      <c r="AE15" s="46">
        <v>4.5999999999999999E-3</v>
      </c>
      <c r="AF15" s="46">
        <v>50</v>
      </c>
    </row>
    <row r="16" spans="3:42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  <c r="L16" s="46"/>
      <c r="M16" s="35" t="s">
        <v>65</v>
      </c>
      <c r="N16" s="36"/>
      <c r="O16" s="43" t="s">
        <v>95</v>
      </c>
      <c r="P16" s="36"/>
      <c r="Q16" s="36"/>
      <c r="R16" s="36"/>
      <c r="S16" s="35">
        <v>4.8</v>
      </c>
      <c r="T16" s="36">
        <v>4.8500000000000005</v>
      </c>
      <c r="U16" s="37">
        <v>5</v>
      </c>
      <c r="V16" s="37"/>
      <c r="AH16" s="46" t="s">
        <v>88</v>
      </c>
      <c r="AI16" s="46" t="s">
        <v>40</v>
      </c>
      <c r="AJ16" s="46">
        <v>4.5</v>
      </c>
      <c r="AK16" s="46">
        <v>-40</v>
      </c>
      <c r="AL16" s="46" t="s">
        <v>70</v>
      </c>
      <c r="AM16" s="46" t="s">
        <v>70</v>
      </c>
      <c r="AO16" s="46">
        <v>4.5999999999999999E-3</v>
      </c>
      <c r="AP16" s="46">
        <v>2000</v>
      </c>
    </row>
    <row r="17" spans="3:42" ht="13.5" thickBot="1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  <c r="L17" s="46"/>
      <c r="M17" s="40" t="s">
        <v>38</v>
      </c>
      <c r="N17" s="41"/>
      <c r="O17" s="45" t="s">
        <v>96</v>
      </c>
      <c r="P17" s="41"/>
      <c r="Q17" s="41"/>
      <c r="R17" s="41"/>
      <c r="S17" s="40">
        <v>0.54600000000000004</v>
      </c>
      <c r="T17" s="41">
        <v>0.70000000000000007</v>
      </c>
      <c r="U17" s="42">
        <v>245.78900000000002</v>
      </c>
      <c r="V17" s="42"/>
      <c r="X17" s="46" t="s">
        <v>89</v>
      </c>
      <c r="Y17" s="46" t="s">
        <v>42</v>
      </c>
      <c r="Z17" s="46">
        <v>4.5</v>
      </c>
      <c r="AA17" s="46">
        <v>-40</v>
      </c>
      <c r="AB17" s="46" t="s">
        <v>70</v>
      </c>
      <c r="AC17" s="46" t="s">
        <v>71</v>
      </c>
      <c r="AE17" s="46">
        <v>4.7000000000000002E-3</v>
      </c>
      <c r="AF17" s="46">
        <v>25</v>
      </c>
    </row>
    <row r="18" spans="3:42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  <c r="L18" s="46"/>
    </row>
    <row r="19" spans="3:42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  <c r="L19" s="46"/>
    </row>
    <row r="20" spans="3:42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  <c r="L20" s="46"/>
    </row>
    <row r="21" spans="3:42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  <c r="L21" s="46"/>
    </row>
    <row r="22" spans="3:42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  <c r="L22" s="46"/>
    </row>
    <row r="23" spans="3:42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  <c r="L23" s="46"/>
    </row>
    <row r="24" spans="3:42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  <c r="L24" s="46"/>
      <c r="X24" s="46" t="s">
        <v>84</v>
      </c>
      <c r="Y24" s="46" t="s">
        <v>51</v>
      </c>
      <c r="Z24" s="46">
        <v>5.5</v>
      </c>
      <c r="AA24" s="46">
        <v>-40</v>
      </c>
      <c r="AB24" s="46" t="s">
        <v>70</v>
      </c>
      <c r="AC24" s="46" t="s">
        <v>70</v>
      </c>
      <c r="AE24" s="46">
        <v>4.4000000000000003E-3</v>
      </c>
      <c r="AF24" s="46">
        <v>24</v>
      </c>
      <c r="AH24" s="46" t="s">
        <v>85</v>
      </c>
      <c r="AI24" s="46" t="s">
        <v>53</v>
      </c>
      <c r="AJ24" s="46">
        <v>5.5</v>
      </c>
      <c r="AK24" s="46">
        <v>-40</v>
      </c>
      <c r="AL24" s="46" t="s">
        <v>71</v>
      </c>
      <c r="AM24" s="46" t="s">
        <v>70</v>
      </c>
      <c r="AO24" s="46">
        <v>5.0000000000000001E-3</v>
      </c>
      <c r="AP24" s="46">
        <v>48</v>
      </c>
    </row>
    <row r="25" spans="3:42">
      <c r="L25" s="46"/>
    </row>
    <row r="26" spans="3:42">
      <c r="L26" s="46"/>
      <c r="X26" s="46" t="s">
        <v>90</v>
      </c>
      <c r="Y26" s="46" t="s">
        <v>51</v>
      </c>
      <c r="Z26" s="46">
        <v>5.5</v>
      </c>
      <c r="AA26" s="46">
        <v>-40</v>
      </c>
      <c r="AB26" s="46" t="s">
        <v>70</v>
      </c>
      <c r="AC26" s="46" t="s">
        <v>70</v>
      </c>
      <c r="AE26" s="46">
        <v>4.4000000000000003E-3</v>
      </c>
      <c r="AF26" s="46">
        <v>24</v>
      </c>
      <c r="AH26" s="46" t="s">
        <v>91</v>
      </c>
      <c r="AI26" s="46" t="s">
        <v>52</v>
      </c>
      <c r="AJ26" s="46">
        <v>5.5</v>
      </c>
      <c r="AK26" s="46">
        <v>-40</v>
      </c>
      <c r="AL26" s="46" t="s">
        <v>70</v>
      </c>
      <c r="AM26" s="46" t="s">
        <v>71</v>
      </c>
      <c r="AO26" s="46">
        <v>4.7999999999999996E-3</v>
      </c>
      <c r="AP26" s="46">
        <v>9583</v>
      </c>
    </row>
    <row r="27" spans="3:42">
      <c r="L27" s="46"/>
    </row>
    <row r="28" spans="3:42">
      <c r="L28" s="46"/>
    </row>
    <row r="29" spans="3:42">
      <c r="L29" s="46"/>
    </row>
    <row r="30" spans="3:42">
      <c r="L30" s="46"/>
    </row>
    <row r="31" spans="3:42">
      <c r="L31" s="46"/>
    </row>
    <row r="32" spans="3:42">
      <c r="L32" s="46"/>
    </row>
    <row r="33" spans="12:42">
      <c r="L33" s="46"/>
    </row>
    <row r="34" spans="12:42">
      <c r="L34" s="46"/>
      <c r="X34" s="46" t="s">
        <v>86</v>
      </c>
      <c r="Y34" s="46" t="s">
        <v>56</v>
      </c>
      <c r="Z34" s="46">
        <v>5.5</v>
      </c>
      <c r="AA34" s="46">
        <v>150</v>
      </c>
      <c r="AB34" s="46" t="s">
        <v>70</v>
      </c>
      <c r="AC34" s="46" t="s">
        <v>70</v>
      </c>
      <c r="AE34" s="46">
        <v>4.7999999999999996E-3</v>
      </c>
      <c r="AF34" s="46">
        <v>245789</v>
      </c>
      <c r="AH34" s="46" t="s">
        <v>87</v>
      </c>
      <c r="AI34" s="46" t="s">
        <v>79</v>
      </c>
      <c r="AJ34" s="46">
        <v>5.5</v>
      </c>
      <c r="AK34" s="46">
        <v>150</v>
      </c>
      <c r="AL34" s="46" t="s">
        <v>71</v>
      </c>
      <c r="AM34" s="46" t="s">
        <v>71</v>
      </c>
      <c r="AO34" s="46">
        <v>5.0000000000000001E-3</v>
      </c>
      <c r="AP34" s="46">
        <v>846</v>
      </c>
    </row>
    <row r="35" spans="12:42">
      <c r="L35" s="46"/>
    </row>
    <row r="36" spans="12:42">
      <c r="L36" s="46"/>
      <c r="X36" s="46" t="s">
        <v>93</v>
      </c>
      <c r="Y36" s="46" t="s">
        <v>78</v>
      </c>
      <c r="Z36" s="46">
        <v>5.5</v>
      </c>
      <c r="AA36" s="46">
        <v>150</v>
      </c>
      <c r="AB36" s="46" t="s">
        <v>71</v>
      </c>
      <c r="AC36" s="46" t="s">
        <v>70</v>
      </c>
      <c r="AE36" s="46">
        <v>4.9000000000000007E-3</v>
      </c>
      <c r="AF36" s="46">
        <v>546</v>
      </c>
      <c r="AH36" s="46" t="s">
        <v>92</v>
      </c>
      <c r="AI36" s="46" t="s">
        <v>56</v>
      </c>
      <c r="AJ36" s="46">
        <v>5.5</v>
      </c>
      <c r="AK36" s="46">
        <v>150</v>
      </c>
      <c r="AL36" s="46" t="s">
        <v>70</v>
      </c>
      <c r="AM36" s="46" t="s">
        <v>70</v>
      </c>
      <c r="AO36" s="46">
        <v>4.7999999999999996E-3</v>
      </c>
      <c r="AP36" s="46">
        <v>245789</v>
      </c>
    </row>
    <row r="37" spans="12:42">
      <c r="L37" s="46"/>
    </row>
    <row r="38" spans="12:42">
      <c r="L38" s="46"/>
    </row>
    <row r="39" spans="12:42">
      <c r="L39" s="46"/>
    </row>
    <row r="40" spans="12:42">
      <c r="L40" s="46"/>
    </row>
    <row r="41" spans="12:42">
      <c r="L41" s="46"/>
    </row>
    <row r="42" spans="12:42">
      <c r="L42" s="46"/>
    </row>
    <row r="43" spans="12:42">
      <c r="L43" s="46"/>
    </row>
    <row r="44" spans="12:42">
      <c r="L44" s="46"/>
    </row>
    <row r="45" spans="12:42">
      <c r="L45" s="46"/>
    </row>
    <row r="46" spans="12:42">
      <c r="L46" s="46"/>
    </row>
    <row r="47" spans="12:42">
      <c r="L47" s="46"/>
    </row>
    <row r="48" spans="12:42">
      <c r="L48" s="46"/>
    </row>
    <row r="49" spans="12:12">
      <c r="L49" s="46"/>
    </row>
    <row r="50" spans="12:12">
      <c r="L50" s="46"/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P24"/>
  <sheetViews>
    <sheetView topLeftCell="B1" zoomScale="70" zoomScaleNormal="70" workbookViewId="0">
      <selection activeCell="G22" sqref="G22"/>
    </sheetView>
  </sheetViews>
  <sheetFormatPr defaultRowHeight="13"/>
  <sheetData>
    <row r="2" spans="3:42" ht="13.5" thickBot="1">
      <c r="P2" t="s">
        <v>128</v>
      </c>
      <c r="S2" t="s">
        <v>129</v>
      </c>
    </row>
    <row r="3" spans="3:42" ht="13.5" thickBot="1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M3" s="15" t="s">
        <v>60</v>
      </c>
      <c r="N3" s="17"/>
      <c r="O3" s="16" t="s">
        <v>94</v>
      </c>
      <c r="P3" s="17" t="s">
        <v>61</v>
      </c>
      <c r="Q3" s="17" t="s">
        <v>62</v>
      </c>
      <c r="R3" s="17" t="s">
        <v>63</v>
      </c>
      <c r="S3" s="15" t="s">
        <v>61</v>
      </c>
      <c r="T3" s="17" t="s">
        <v>62</v>
      </c>
      <c r="U3" s="18" t="s">
        <v>63</v>
      </c>
      <c r="V3" s="18" t="s">
        <v>130</v>
      </c>
      <c r="Z3" t="s">
        <v>66</v>
      </c>
      <c r="AA3" t="s">
        <v>67</v>
      </c>
      <c r="AB3" t="s">
        <v>68</v>
      </c>
      <c r="AC3" t="s">
        <v>69</v>
      </c>
      <c r="AD3" t="s">
        <v>81</v>
      </c>
      <c r="AE3" t="s">
        <v>65</v>
      </c>
      <c r="AF3" t="s">
        <v>38</v>
      </c>
    </row>
    <row r="4" spans="3:42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M4" s="8" t="s">
        <v>65</v>
      </c>
      <c r="N4" s="3"/>
      <c r="O4" s="13" t="s">
        <v>95</v>
      </c>
      <c r="P4" s="3"/>
      <c r="Q4" s="3"/>
      <c r="R4" s="3"/>
      <c r="S4" s="8">
        <v>4.4000000000000004</v>
      </c>
      <c r="T4" s="3">
        <v>4.8</v>
      </c>
      <c r="U4" s="9">
        <v>5</v>
      </c>
      <c r="V4" s="9"/>
      <c r="X4" t="s">
        <v>72</v>
      </c>
      <c r="Y4" t="s">
        <v>51</v>
      </c>
      <c r="Z4">
        <v>5.5</v>
      </c>
      <c r="AA4">
        <v>-40</v>
      </c>
      <c r="AB4" t="s">
        <v>70</v>
      </c>
      <c r="AC4" t="s">
        <v>70</v>
      </c>
      <c r="AE4">
        <v>4.4000000000000003E-3</v>
      </c>
      <c r="AF4">
        <v>24</v>
      </c>
      <c r="AH4" t="s">
        <v>74</v>
      </c>
      <c r="AI4" t="s">
        <v>53</v>
      </c>
      <c r="AJ4">
        <v>5.5</v>
      </c>
      <c r="AK4">
        <v>-40</v>
      </c>
      <c r="AL4" t="s">
        <v>71</v>
      </c>
      <c r="AM4" t="s">
        <v>70</v>
      </c>
      <c r="AO4">
        <v>5.0000000000000001E-3</v>
      </c>
      <c r="AP4">
        <v>48</v>
      </c>
    </row>
    <row r="5" spans="3:42" ht="13.5" thickBot="1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M5" s="10" t="s">
        <v>38</v>
      </c>
      <c r="N5" s="11"/>
      <c r="O5" s="14" t="s">
        <v>96</v>
      </c>
      <c r="P5" s="11"/>
      <c r="Q5" s="11"/>
      <c r="R5" s="11"/>
      <c r="S5" s="10">
        <v>2.4E-2</v>
      </c>
      <c r="T5" s="11">
        <v>1</v>
      </c>
      <c r="U5" s="4">
        <v>245.78900000000002</v>
      </c>
      <c r="V5" s="4"/>
      <c r="AH5" t="s">
        <v>74</v>
      </c>
      <c r="AI5" t="s">
        <v>79</v>
      </c>
      <c r="AJ5">
        <v>5.5</v>
      </c>
      <c r="AK5">
        <v>150</v>
      </c>
      <c r="AL5" t="s">
        <v>71</v>
      </c>
      <c r="AM5" t="s">
        <v>71</v>
      </c>
      <c r="AO5">
        <v>5.0000000000000001E-3</v>
      </c>
      <c r="AP5">
        <v>846</v>
      </c>
    </row>
    <row r="6" spans="3:42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X6" t="s">
        <v>73</v>
      </c>
      <c r="Y6" t="s">
        <v>51</v>
      </c>
      <c r="Z6">
        <v>5.5</v>
      </c>
      <c r="AA6">
        <v>-40</v>
      </c>
      <c r="AB6" t="s">
        <v>70</v>
      </c>
      <c r="AC6" t="s">
        <v>70</v>
      </c>
      <c r="AE6">
        <v>4.4000000000000003E-3</v>
      </c>
      <c r="AF6">
        <v>24</v>
      </c>
    </row>
    <row r="7" spans="3:42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AH7" t="s">
        <v>75</v>
      </c>
      <c r="AI7" t="s">
        <v>56</v>
      </c>
      <c r="AJ7">
        <v>5.5</v>
      </c>
      <c r="AK7">
        <v>150</v>
      </c>
      <c r="AL7" t="s">
        <v>70</v>
      </c>
      <c r="AM7" t="s">
        <v>70</v>
      </c>
      <c r="AO7">
        <v>4.7999999999999996E-3</v>
      </c>
      <c r="AP7">
        <v>245789</v>
      </c>
    </row>
    <row r="8" spans="3:42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4.7999999999999996E-3</v>
      </c>
      <c r="J8">
        <v>48</v>
      </c>
    </row>
    <row r="9" spans="3:42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</row>
    <row r="10" spans="3:42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</row>
    <row r="11" spans="3:42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4.7000000000000002E-3</v>
      </c>
      <c r="J11">
        <v>48</v>
      </c>
    </row>
    <row r="12" spans="3:42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</row>
    <row r="13" spans="3:42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</row>
    <row r="14" spans="3:42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</row>
    <row r="15" spans="3:42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</row>
    <row r="16" spans="3:42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</row>
    <row r="17" spans="3:10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</row>
    <row r="18" spans="3:10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</row>
    <row r="19" spans="3:10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</row>
    <row r="20" spans="3:10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</row>
    <row r="21" spans="3:10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</row>
    <row r="22" spans="3:10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</row>
    <row r="23" spans="3:10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</row>
    <row r="24" spans="3:10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9:F23"/>
  <sheetViews>
    <sheetView topLeftCell="A10" workbookViewId="0">
      <selection activeCell="B22" sqref="B22"/>
    </sheetView>
  </sheetViews>
  <sheetFormatPr defaultRowHeight="13"/>
  <sheetData>
    <row r="9" spans="3:3">
      <c r="C9" t="s">
        <v>131</v>
      </c>
    </row>
    <row r="13" spans="3:3">
      <c r="C13" s="19" t="s">
        <v>181</v>
      </c>
    </row>
    <row r="19" spans="5:6">
      <c r="E19" s="19" t="s">
        <v>181</v>
      </c>
    </row>
    <row r="23" spans="5:6">
      <c r="F23" s="19" t="s">
        <v>181</v>
      </c>
    </row>
  </sheetData>
  <phoneticPr fontId="1"/>
  <hyperlinks>
    <hyperlink ref="C13" r:id="rId1"/>
    <hyperlink ref="F23" r:id="rId2" display="\\zd117datasaver\ICE1_4\20140222穴井様\G\たかじんのそこまで言って委員会\たかじんのそこまで言って委員会_071104.mpg"/>
    <hyperlink ref="E19" r:id="rId3" display="\\zd117datasaver\ICE1_4\20140222穴井様\G\たかじんのそこまで言って委員会\たかじんのそこまで言って委員会_071104.mpg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V27"/>
  <sheetViews>
    <sheetView zoomScale="70" zoomScaleNormal="70" workbookViewId="0">
      <selection activeCell="J21" sqref="J21"/>
    </sheetView>
  </sheetViews>
  <sheetFormatPr defaultRowHeight="13"/>
  <cols>
    <col min="26" max="26" width="18.54296875" bestFit="1" customWidth="1"/>
  </cols>
  <sheetData>
    <row r="1" spans="3:22">
      <c r="C1" t="s">
        <v>66</v>
      </c>
      <c r="D1">
        <v>4.5</v>
      </c>
      <c r="E1">
        <v>5.5</v>
      </c>
      <c r="I1" s="2">
        <v>4.7999999999999996E-3</v>
      </c>
      <c r="J1" s="2">
        <v>1000</v>
      </c>
    </row>
    <row r="2" spans="3:22">
      <c r="C2" t="s">
        <v>67</v>
      </c>
      <c r="D2">
        <v>-40</v>
      </c>
      <c r="E2">
        <v>150</v>
      </c>
    </row>
    <row r="3" spans="3:22">
      <c r="C3" t="s">
        <v>132</v>
      </c>
      <c r="D3" t="s">
        <v>33</v>
      </c>
      <c r="E3" t="s">
        <v>34</v>
      </c>
      <c r="F3" t="s">
        <v>35</v>
      </c>
    </row>
    <row r="4" spans="3:22">
      <c r="C4" t="s">
        <v>134</v>
      </c>
      <c r="D4" t="s">
        <v>33</v>
      </c>
      <c r="E4" t="s">
        <v>34</v>
      </c>
      <c r="F4" t="s">
        <v>35</v>
      </c>
    </row>
    <row r="6" spans="3:22" ht="13.5" thickBot="1"/>
    <row r="7" spans="3:22" ht="13.5" thickBot="1">
      <c r="C7" t="s">
        <v>37</v>
      </c>
      <c r="D7" t="s">
        <v>24</v>
      </c>
      <c r="E7" t="s">
        <v>30</v>
      </c>
      <c r="F7" t="s">
        <v>133</v>
      </c>
      <c r="G7" t="s">
        <v>135</v>
      </c>
      <c r="H7" t="s">
        <v>76</v>
      </c>
      <c r="I7" t="s">
        <v>36</v>
      </c>
      <c r="J7" t="s">
        <v>39</v>
      </c>
      <c r="M7" s="15"/>
      <c r="N7" s="17"/>
      <c r="O7" s="16"/>
      <c r="P7" s="17"/>
      <c r="Q7" s="17"/>
      <c r="R7" s="17"/>
      <c r="S7" s="15"/>
      <c r="T7" s="17"/>
      <c r="U7" s="18"/>
      <c r="V7" s="18"/>
    </row>
    <row r="8" spans="3:22">
      <c r="C8" t="s">
        <v>153</v>
      </c>
      <c r="D8">
        <v>4.5</v>
      </c>
      <c r="E8">
        <v>-40</v>
      </c>
      <c r="F8" t="s">
        <v>33</v>
      </c>
      <c r="G8" t="s">
        <v>33</v>
      </c>
      <c r="I8">
        <v>4.6500000000000005E-3</v>
      </c>
      <c r="J8">
        <v>200</v>
      </c>
      <c r="M8" s="8"/>
      <c r="N8" s="3"/>
      <c r="O8" s="13"/>
      <c r="P8" s="3"/>
      <c r="Q8" s="3"/>
      <c r="R8" s="3"/>
      <c r="S8" s="8"/>
      <c r="T8" s="3"/>
      <c r="U8" s="9"/>
      <c r="V8" s="9"/>
    </row>
    <row r="9" spans="3:22" ht="13.5" thickBot="1">
      <c r="D9">
        <v>4.5</v>
      </c>
      <c r="E9">
        <v>150</v>
      </c>
      <c r="F9" t="s">
        <v>33</v>
      </c>
      <c r="G9" t="s">
        <v>33</v>
      </c>
      <c r="I9">
        <v>4.7499999999999999E-3</v>
      </c>
      <c r="J9">
        <v>150</v>
      </c>
      <c r="M9" s="10"/>
      <c r="N9" s="11"/>
      <c r="O9" s="14"/>
      <c r="P9" s="11"/>
      <c r="Q9" s="11"/>
      <c r="R9" s="11"/>
      <c r="S9" s="10"/>
      <c r="T9" s="11"/>
      <c r="U9" s="4"/>
      <c r="V9" s="4"/>
    </row>
    <row r="10" spans="3:22">
      <c r="D10">
        <v>5.5</v>
      </c>
      <c r="E10">
        <v>-40</v>
      </c>
      <c r="F10" t="s">
        <v>33</v>
      </c>
      <c r="G10" t="s">
        <v>33</v>
      </c>
      <c r="I10">
        <v>4.7000000000000002E-3</v>
      </c>
      <c r="J10">
        <v>2500</v>
      </c>
    </row>
    <row r="11" spans="3:22" ht="13.5" thickBot="1">
      <c r="D11">
        <v>5.5</v>
      </c>
      <c r="E11">
        <v>150</v>
      </c>
      <c r="F11" t="s">
        <v>33</v>
      </c>
      <c r="G11" t="s">
        <v>33</v>
      </c>
      <c r="I11">
        <v>4.8500000000000001E-3</v>
      </c>
      <c r="J11">
        <v>700</v>
      </c>
    </row>
    <row r="12" spans="3:22">
      <c r="C12" t="s">
        <v>161</v>
      </c>
      <c r="D12">
        <v>4.5</v>
      </c>
      <c r="E12">
        <v>-40</v>
      </c>
      <c r="F12" t="s">
        <v>34</v>
      </c>
      <c r="G12" t="s">
        <v>34</v>
      </c>
      <c r="I12">
        <v>4.5999999999999999E-3</v>
      </c>
      <c r="J12">
        <v>2000</v>
      </c>
      <c r="M12" s="5"/>
      <c r="N12" s="6"/>
      <c r="O12" s="12"/>
      <c r="P12" s="6"/>
      <c r="Q12" s="6"/>
      <c r="R12" s="6"/>
      <c r="S12" s="5"/>
      <c r="T12" s="6"/>
      <c r="U12" s="7"/>
      <c r="V12" s="7"/>
    </row>
    <row r="13" spans="3:22" ht="13.5" thickBot="1">
      <c r="D13">
        <v>4.5</v>
      </c>
      <c r="E13">
        <v>150</v>
      </c>
      <c r="F13" t="s">
        <v>34</v>
      </c>
      <c r="G13" t="s">
        <v>34</v>
      </c>
      <c r="I13">
        <v>4.7000000000000002E-3</v>
      </c>
      <c r="J13">
        <v>300</v>
      </c>
      <c r="M13" s="10"/>
      <c r="N13" s="11"/>
      <c r="O13" s="14"/>
      <c r="P13" s="11"/>
      <c r="Q13" s="11"/>
      <c r="R13" s="11"/>
      <c r="S13" s="10"/>
      <c r="T13" s="11"/>
      <c r="U13" s="4"/>
      <c r="V13" s="4"/>
    </row>
    <row r="14" spans="3:22">
      <c r="D14">
        <v>5.5</v>
      </c>
      <c r="E14">
        <v>-40</v>
      </c>
      <c r="F14" t="s">
        <v>34</v>
      </c>
      <c r="G14" t="s">
        <v>34</v>
      </c>
      <c r="I14">
        <v>4.4000000000000003E-3</v>
      </c>
      <c r="J14">
        <v>24</v>
      </c>
    </row>
    <row r="15" spans="3:22" ht="13.5" thickBot="1">
      <c r="D15">
        <v>5.5</v>
      </c>
      <c r="E15">
        <v>150</v>
      </c>
      <c r="F15" t="s">
        <v>34</v>
      </c>
      <c r="G15" t="s">
        <v>34</v>
      </c>
      <c r="I15">
        <v>4.7999999999999996E-3</v>
      </c>
      <c r="J15">
        <v>245789</v>
      </c>
    </row>
    <row r="16" spans="3:22">
      <c r="C16" t="s">
        <v>155</v>
      </c>
      <c r="D16">
        <v>4.5</v>
      </c>
      <c r="E16">
        <v>-40</v>
      </c>
      <c r="F16" t="s">
        <v>34</v>
      </c>
      <c r="G16" t="s">
        <v>35</v>
      </c>
      <c r="I16">
        <v>4.7000000000000002E-3</v>
      </c>
      <c r="J16">
        <v>25</v>
      </c>
      <c r="M16" s="5"/>
      <c r="N16" s="6"/>
      <c r="O16" s="12"/>
      <c r="P16" s="6"/>
      <c r="Q16" s="6"/>
      <c r="R16" s="6"/>
      <c r="S16" s="5"/>
      <c r="T16" s="6"/>
      <c r="U16" s="7"/>
      <c r="V16" s="7"/>
    </row>
    <row r="17" spans="3:22" ht="13.5" thickBot="1">
      <c r="D17">
        <v>4.5</v>
      </c>
      <c r="E17">
        <v>150</v>
      </c>
      <c r="F17" t="s">
        <v>34</v>
      </c>
      <c r="G17" t="s">
        <v>35</v>
      </c>
      <c r="I17">
        <v>4.7000000000000002E-3</v>
      </c>
      <c r="J17">
        <v>48</v>
      </c>
      <c r="M17" s="10"/>
      <c r="N17" s="11"/>
      <c r="O17" s="14"/>
      <c r="P17" s="11"/>
      <c r="Q17" s="11"/>
      <c r="R17" s="11"/>
      <c r="S17" s="10"/>
      <c r="T17" s="11"/>
      <c r="U17" s="4"/>
      <c r="V17" s="4"/>
    </row>
    <row r="18" spans="3:22">
      <c r="D18">
        <v>5.5</v>
      </c>
      <c r="E18">
        <v>-40</v>
      </c>
      <c r="F18" t="s">
        <v>34</v>
      </c>
      <c r="G18" t="s">
        <v>35</v>
      </c>
      <c r="I18">
        <v>4.7999999999999996E-3</v>
      </c>
      <c r="J18">
        <v>9583</v>
      </c>
    </row>
    <row r="19" spans="3:22" ht="13.5" thickBot="1">
      <c r="D19">
        <v>5.5</v>
      </c>
      <c r="E19">
        <v>150</v>
      </c>
      <c r="F19" t="s">
        <v>34</v>
      </c>
      <c r="G19" t="s">
        <v>35</v>
      </c>
      <c r="I19">
        <v>4.9000000000000007E-3</v>
      </c>
      <c r="J19">
        <v>4518</v>
      </c>
    </row>
    <row r="20" spans="3:22">
      <c r="C20" t="s">
        <v>156</v>
      </c>
      <c r="D20">
        <v>4.5</v>
      </c>
      <c r="E20">
        <v>-40</v>
      </c>
      <c r="F20" t="s">
        <v>35</v>
      </c>
      <c r="G20" t="s">
        <v>34</v>
      </c>
      <c r="I20">
        <v>4.5999999999999999E-3</v>
      </c>
      <c r="J20">
        <v>50</v>
      </c>
      <c r="M20" s="5"/>
      <c r="N20" s="6"/>
      <c r="O20" s="12"/>
      <c r="P20" s="6"/>
      <c r="Q20" s="6"/>
      <c r="R20" s="6"/>
      <c r="S20" s="5"/>
      <c r="T20" s="6"/>
      <c r="U20" s="7"/>
      <c r="V20" s="7"/>
    </row>
    <row r="21" spans="3:22" ht="13.5" thickBot="1">
      <c r="D21">
        <v>4.5</v>
      </c>
      <c r="E21">
        <v>150</v>
      </c>
      <c r="F21" t="s">
        <v>35</v>
      </c>
      <c r="G21" t="s">
        <v>34</v>
      </c>
      <c r="I21">
        <v>4.7999999999999996E-3</v>
      </c>
      <c r="J21">
        <v>985</v>
      </c>
      <c r="M21" s="10"/>
      <c r="N21" s="11"/>
      <c r="O21" s="14"/>
      <c r="P21" s="11"/>
      <c r="Q21" s="11"/>
      <c r="R21" s="11"/>
      <c r="S21" s="10"/>
      <c r="T21" s="11"/>
      <c r="U21" s="4"/>
      <c r="V21" s="4"/>
    </row>
    <row r="22" spans="3:22">
      <c r="D22">
        <v>5.5</v>
      </c>
      <c r="E22">
        <v>-40</v>
      </c>
      <c r="F22" t="s">
        <v>35</v>
      </c>
      <c r="G22" t="s">
        <v>34</v>
      </c>
      <c r="I22">
        <v>5.0000000000000001E-3</v>
      </c>
      <c r="J22">
        <v>48</v>
      </c>
    </row>
    <row r="23" spans="3:22">
      <c r="D23">
        <v>5.5</v>
      </c>
      <c r="E23">
        <v>150</v>
      </c>
      <c r="F23" t="s">
        <v>35</v>
      </c>
      <c r="G23" t="s">
        <v>34</v>
      </c>
      <c r="I23">
        <v>4.9000000000000007E-3</v>
      </c>
      <c r="J23">
        <v>546</v>
      </c>
    </row>
    <row r="24" spans="3:22">
      <c r="C24" t="s">
        <v>157</v>
      </c>
      <c r="D24">
        <v>4.5</v>
      </c>
      <c r="E24">
        <v>-40</v>
      </c>
      <c r="F24" t="s">
        <v>35</v>
      </c>
      <c r="G24" t="s">
        <v>35</v>
      </c>
      <c r="I24">
        <v>4.7999999999999996E-3</v>
      </c>
      <c r="J24">
        <v>48</v>
      </c>
    </row>
    <row r="25" spans="3:22">
      <c r="D25">
        <v>4.5</v>
      </c>
      <c r="E25">
        <v>150</v>
      </c>
      <c r="F25" t="s">
        <v>35</v>
      </c>
      <c r="G25" t="s">
        <v>35</v>
      </c>
      <c r="I25">
        <v>4.9000000000000007E-3</v>
      </c>
      <c r="J25">
        <v>49</v>
      </c>
    </row>
    <row r="26" spans="3:22">
      <c r="D26">
        <v>5.5</v>
      </c>
      <c r="E26">
        <v>-40</v>
      </c>
      <c r="F26" t="s">
        <v>35</v>
      </c>
      <c r="G26" t="s">
        <v>35</v>
      </c>
      <c r="I26">
        <v>4.9000000000000007E-3</v>
      </c>
      <c r="J26">
        <v>2105</v>
      </c>
    </row>
    <row r="27" spans="3:22">
      <c r="D27">
        <v>5.5</v>
      </c>
      <c r="E27">
        <v>150</v>
      </c>
      <c r="F27" t="s">
        <v>35</v>
      </c>
      <c r="G27" t="s">
        <v>35</v>
      </c>
      <c r="I27">
        <v>5.0000000000000001E-3</v>
      </c>
      <c r="J27">
        <v>846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G10"/>
  <sheetViews>
    <sheetView zoomScale="55" zoomScaleNormal="55" workbookViewId="0">
      <selection activeCell="S44" sqref="A1:S44"/>
    </sheetView>
  </sheetViews>
  <sheetFormatPr defaultRowHeight="13"/>
  <cols>
    <col min="3" max="3" width="11.90625" bestFit="1" customWidth="1"/>
  </cols>
  <sheetData>
    <row r="4" spans="2:7">
      <c r="B4">
        <v>0</v>
      </c>
      <c r="C4" t="s">
        <v>66</v>
      </c>
      <c r="D4">
        <v>4.5</v>
      </c>
      <c r="E4">
        <v>5.5</v>
      </c>
    </row>
    <row r="5" spans="2:7">
      <c r="B5">
        <v>1</v>
      </c>
      <c r="C5" t="s">
        <v>67</v>
      </c>
      <c r="D5">
        <v>-40</v>
      </c>
      <c r="E5">
        <v>150</v>
      </c>
    </row>
    <row r="6" spans="2:7">
      <c r="B6">
        <v>2</v>
      </c>
      <c r="C6" t="s">
        <v>182</v>
      </c>
      <c r="D6">
        <v>1.998</v>
      </c>
      <c r="E6">
        <v>2.0019999999999998</v>
      </c>
    </row>
    <row r="7" spans="2:7">
      <c r="B7">
        <v>3</v>
      </c>
      <c r="C7" t="s">
        <v>132</v>
      </c>
      <c r="D7" t="s">
        <v>137</v>
      </c>
      <c r="E7" t="s">
        <v>139</v>
      </c>
      <c r="F7" t="s">
        <v>141</v>
      </c>
      <c r="G7" t="s">
        <v>143</v>
      </c>
    </row>
    <row r="8" spans="2:7">
      <c r="B8">
        <v>4</v>
      </c>
      <c r="C8" t="s">
        <v>134</v>
      </c>
      <c r="D8" t="s">
        <v>145</v>
      </c>
      <c r="E8" t="s">
        <v>147</v>
      </c>
    </row>
    <row r="9" spans="2:7">
      <c r="B9">
        <v>5</v>
      </c>
      <c r="C9" t="s">
        <v>151</v>
      </c>
      <c r="D9" t="s">
        <v>137</v>
      </c>
      <c r="E9" t="s">
        <v>139</v>
      </c>
      <c r="F9" t="s">
        <v>141</v>
      </c>
      <c r="G9" t="s">
        <v>143</v>
      </c>
    </row>
    <row r="10" spans="2:7">
      <c r="B10">
        <v>6</v>
      </c>
      <c r="C10" t="s">
        <v>149</v>
      </c>
      <c r="D10" t="s">
        <v>145</v>
      </c>
      <c r="E10" t="s">
        <v>147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H96"/>
  <sheetViews>
    <sheetView zoomScale="55" zoomScaleNormal="55" workbookViewId="0">
      <selection activeCell="H25" sqref="H25"/>
    </sheetView>
  </sheetViews>
  <sheetFormatPr defaultRowHeight="13"/>
  <cols>
    <col min="3" max="3" width="11.90625" bestFit="1" customWidth="1"/>
  </cols>
  <sheetData>
    <row r="4" spans="2:8">
      <c r="B4">
        <v>0</v>
      </c>
      <c r="C4" t="s">
        <v>66</v>
      </c>
      <c r="D4">
        <v>4.5</v>
      </c>
      <c r="E4">
        <v>5.5</v>
      </c>
    </row>
    <row r="5" spans="2:8">
      <c r="B5">
        <v>1</v>
      </c>
      <c r="C5" t="s">
        <v>67</v>
      </c>
      <c r="D5">
        <v>-40</v>
      </c>
      <c r="E5">
        <v>150</v>
      </c>
    </row>
    <row r="6" spans="2:8">
      <c r="B6">
        <v>2</v>
      </c>
      <c r="C6" t="s">
        <v>132</v>
      </c>
      <c r="D6" t="s">
        <v>137</v>
      </c>
      <c r="E6" t="s">
        <v>139</v>
      </c>
      <c r="F6" t="s">
        <v>141</v>
      </c>
      <c r="G6" t="s">
        <v>143</v>
      </c>
    </row>
    <row r="7" spans="2:8">
      <c r="B7">
        <v>3</v>
      </c>
      <c r="C7" t="s">
        <v>134</v>
      </c>
      <c r="D7" t="s">
        <v>145</v>
      </c>
      <c r="E7" t="s">
        <v>147</v>
      </c>
    </row>
    <row r="8" spans="2:8">
      <c r="B8">
        <v>4</v>
      </c>
      <c r="C8" t="s">
        <v>151</v>
      </c>
      <c r="D8" t="s">
        <v>137</v>
      </c>
      <c r="E8" t="s">
        <v>139</v>
      </c>
      <c r="F8" t="s">
        <v>141</v>
      </c>
      <c r="G8" t="s">
        <v>143</v>
      </c>
    </row>
    <row r="9" spans="2:8">
      <c r="B9">
        <v>5</v>
      </c>
      <c r="C9" t="s">
        <v>149</v>
      </c>
      <c r="D9" t="s">
        <v>145</v>
      </c>
      <c r="E9" t="s">
        <v>147</v>
      </c>
    </row>
    <row r="11" spans="2:8">
      <c r="B11" t="s">
        <v>162</v>
      </c>
      <c r="C11">
        <v>4.5</v>
      </c>
      <c r="D11">
        <v>-40</v>
      </c>
      <c r="E11" t="s">
        <v>136</v>
      </c>
      <c r="F11" t="s">
        <v>144</v>
      </c>
      <c r="G11" t="s">
        <v>136</v>
      </c>
      <c r="H11" t="s">
        <v>144</v>
      </c>
    </row>
    <row r="12" spans="2:8">
      <c r="B12" t="s">
        <v>152</v>
      </c>
      <c r="C12" t="s">
        <v>66</v>
      </c>
      <c r="D12" t="s">
        <v>67</v>
      </c>
      <c r="E12" t="s">
        <v>132</v>
      </c>
      <c r="F12" t="s">
        <v>134</v>
      </c>
      <c r="G12" t="s">
        <v>150</v>
      </c>
      <c r="H12" t="s">
        <v>148</v>
      </c>
    </row>
    <row r="13" spans="2:8">
      <c r="B13" t="s">
        <v>153</v>
      </c>
      <c r="C13">
        <v>4.5</v>
      </c>
      <c r="D13">
        <v>-40</v>
      </c>
      <c r="E13" t="s">
        <v>136</v>
      </c>
      <c r="F13" t="s">
        <v>144</v>
      </c>
      <c r="G13" t="s">
        <v>136</v>
      </c>
      <c r="H13" t="s">
        <v>144</v>
      </c>
    </row>
    <row r="14" spans="2:8">
      <c r="C14">
        <v>5.5</v>
      </c>
      <c r="D14">
        <v>-40</v>
      </c>
      <c r="E14" t="s">
        <v>136</v>
      </c>
      <c r="F14" t="s">
        <v>144</v>
      </c>
      <c r="G14" t="s">
        <v>136</v>
      </c>
      <c r="H14" t="s">
        <v>144</v>
      </c>
    </row>
    <row r="15" spans="2:8">
      <c r="C15">
        <v>4.5</v>
      </c>
      <c r="D15">
        <v>150</v>
      </c>
      <c r="E15" t="s">
        <v>136</v>
      </c>
      <c r="F15" t="s">
        <v>144</v>
      </c>
      <c r="G15" t="s">
        <v>136</v>
      </c>
      <c r="H15" t="s">
        <v>144</v>
      </c>
    </row>
    <row r="16" spans="2:8">
      <c r="C16">
        <v>5.5</v>
      </c>
      <c r="D16">
        <v>150</v>
      </c>
      <c r="E16" t="s">
        <v>136</v>
      </c>
      <c r="F16" t="s">
        <v>144</v>
      </c>
      <c r="G16" t="s">
        <v>136</v>
      </c>
      <c r="H16" t="s">
        <v>144</v>
      </c>
    </row>
    <row r="17" spans="2:8">
      <c r="B17" t="s">
        <v>154</v>
      </c>
      <c r="C17">
        <v>4.5</v>
      </c>
      <c r="D17">
        <v>-40</v>
      </c>
      <c r="E17" t="s">
        <v>138</v>
      </c>
      <c r="F17" t="s">
        <v>144</v>
      </c>
      <c r="G17" t="s">
        <v>138</v>
      </c>
      <c r="H17" t="s">
        <v>144</v>
      </c>
    </row>
    <row r="18" spans="2:8">
      <c r="C18">
        <v>5.5</v>
      </c>
      <c r="D18">
        <v>-40</v>
      </c>
      <c r="E18" t="s">
        <v>138</v>
      </c>
      <c r="F18" t="s">
        <v>144</v>
      </c>
      <c r="G18" t="s">
        <v>138</v>
      </c>
      <c r="H18" t="s">
        <v>144</v>
      </c>
    </row>
    <row r="19" spans="2:8">
      <c r="C19">
        <v>4.5</v>
      </c>
      <c r="D19">
        <v>150</v>
      </c>
      <c r="E19" t="s">
        <v>138</v>
      </c>
      <c r="F19" t="s">
        <v>144</v>
      </c>
      <c r="G19" t="s">
        <v>138</v>
      </c>
      <c r="H19" t="s">
        <v>144</v>
      </c>
    </row>
    <row r="20" spans="2:8">
      <c r="C20">
        <v>5.5</v>
      </c>
      <c r="D20">
        <v>150</v>
      </c>
      <c r="E20" t="s">
        <v>138</v>
      </c>
      <c r="F20" t="s">
        <v>144</v>
      </c>
      <c r="G20" t="s">
        <v>138</v>
      </c>
      <c r="H20" t="s">
        <v>144</v>
      </c>
    </row>
    <row r="21" spans="2:8">
      <c r="B21" t="s">
        <v>155</v>
      </c>
      <c r="C21">
        <v>4.5</v>
      </c>
      <c r="D21">
        <v>-40</v>
      </c>
      <c r="E21" t="s">
        <v>140</v>
      </c>
      <c r="F21" t="s">
        <v>144</v>
      </c>
      <c r="G21" t="s">
        <v>140</v>
      </c>
      <c r="H21" t="s">
        <v>144</v>
      </c>
    </row>
    <row r="22" spans="2:8">
      <c r="C22">
        <v>5.5</v>
      </c>
      <c r="D22">
        <v>-40</v>
      </c>
      <c r="E22" t="s">
        <v>140</v>
      </c>
      <c r="F22" t="s">
        <v>144</v>
      </c>
      <c r="G22" t="s">
        <v>140</v>
      </c>
      <c r="H22" t="s">
        <v>144</v>
      </c>
    </row>
    <row r="23" spans="2:8">
      <c r="C23">
        <v>4.5</v>
      </c>
      <c r="D23">
        <v>150</v>
      </c>
      <c r="E23" t="s">
        <v>140</v>
      </c>
      <c r="F23" t="s">
        <v>144</v>
      </c>
      <c r="G23" t="s">
        <v>140</v>
      </c>
      <c r="H23" t="s">
        <v>144</v>
      </c>
    </row>
    <row r="24" spans="2:8">
      <c r="C24">
        <v>5.5</v>
      </c>
      <c r="D24">
        <v>150</v>
      </c>
      <c r="E24" t="s">
        <v>140</v>
      </c>
      <c r="F24" t="s">
        <v>144</v>
      </c>
      <c r="G24" t="s">
        <v>140</v>
      </c>
      <c r="H24" t="s">
        <v>144</v>
      </c>
    </row>
    <row r="25" spans="2:8">
      <c r="B25" t="s">
        <v>156</v>
      </c>
      <c r="C25">
        <v>4.5</v>
      </c>
      <c r="D25">
        <v>-40</v>
      </c>
      <c r="E25" t="s">
        <v>142</v>
      </c>
      <c r="F25" t="s">
        <v>144</v>
      </c>
      <c r="G25" t="s">
        <v>142</v>
      </c>
      <c r="H25" t="s">
        <v>144</v>
      </c>
    </row>
    <row r="26" spans="2:8">
      <c r="C26">
        <v>5.5</v>
      </c>
      <c r="D26">
        <v>-40</v>
      </c>
      <c r="E26" t="s">
        <v>142</v>
      </c>
      <c r="F26" t="s">
        <v>144</v>
      </c>
      <c r="G26" t="s">
        <v>142</v>
      </c>
      <c r="H26" t="s">
        <v>144</v>
      </c>
    </row>
    <row r="27" spans="2:8">
      <c r="C27">
        <v>4.5</v>
      </c>
      <c r="D27">
        <v>150</v>
      </c>
      <c r="E27" t="s">
        <v>142</v>
      </c>
      <c r="F27" t="s">
        <v>144</v>
      </c>
      <c r="G27" t="s">
        <v>142</v>
      </c>
      <c r="H27" t="s">
        <v>144</v>
      </c>
    </row>
    <row r="28" spans="2:8">
      <c r="C28">
        <v>5.5</v>
      </c>
      <c r="D28">
        <v>150</v>
      </c>
      <c r="E28" t="s">
        <v>142</v>
      </c>
      <c r="F28" t="s">
        <v>144</v>
      </c>
      <c r="G28" t="s">
        <v>142</v>
      </c>
      <c r="H28" t="s">
        <v>144</v>
      </c>
    </row>
    <row r="29" spans="2:8">
      <c r="B29" t="s">
        <v>157</v>
      </c>
      <c r="C29">
        <v>4.5</v>
      </c>
      <c r="D29">
        <v>-40</v>
      </c>
      <c r="E29" t="s">
        <v>136</v>
      </c>
      <c r="F29" t="s">
        <v>146</v>
      </c>
      <c r="G29" t="s">
        <v>136</v>
      </c>
      <c r="H29" t="s">
        <v>146</v>
      </c>
    </row>
    <row r="30" spans="2:8">
      <c r="C30">
        <v>5.5</v>
      </c>
      <c r="D30">
        <v>-40</v>
      </c>
      <c r="E30" t="s">
        <v>136</v>
      </c>
      <c r="F30" t="s">
        <v>146</v>
      </c>
      <c r="G30" t="s">
        <v>136</v>
      </c>
      <c r="H30" t="s">
        <v>146</v>
      </c>
    </row>
    <row r="31" spans="2:8">
      <c r="C31">
        <v>4.5</v>
      </c>
      <c r="D31">
        <v>150</v>
      </c>
      <c r="E31" t="s">
        <v>136</v>
      </c>
      <c r="F31" t="s">
        <v>146</v>
      </c>
      <c r="G31" t="s">
        <v>136</v>
      </c>
      <c r="H31" t="s">
        <v>146</v>
      </c>
    </row>
    <row r="32" spans="2:8">
      <c r="C32">
        <v>5.5</v>
      </c>
      <c r="D32">
        <v>150</v>
      </c>
      <c r="E32" t="s">
        <v>136</v>
      </c>
      <c r="F32" t="s">
        <v>146</v>
      </c>
      <c r="G32" t="s">
        <v>136</v>
      </c>
      <c r="H32" t="s">
        <v>146</v>
      </c>
    </row>
    <row r="33" spans="2:8">
      <c r="B33" t="s">
        <v>158</v>
      </c>
      <c r="C33">
        <v>4.5</v>
      </c>
      <c r="D33">
        <v>-40</v>
      </c>
      <c r="E33" t="s">
        <v>138</v>
      </c>
      <c r="F33" t="s">
        <v>146</v>
      </c>
      <c r="G33" t="s">
        <v>138</v>
      </c>
      <c r="H33" t="s">
        <v>146</v>
      </c>
    </row>
    <row r="34" spans="2:8">
      <c r="C34">
        <v>5.5</v>
      </c>
      <c r="D34">
        <v>-40</v>
      </c>
      <c r="E34" t="s">
        <v>138</v>
      </c>
      <c r="F34" t="s">
        <v>146</v>
      </c>
      <c r="G34" t="s">
        <v>138</v>
      </c>
      <c r="H34" t="s">
        <v>146</v>
      </c>
    </row>
    <row r="35" spans="2:8">
      <c r="C35">
        <v>4.5</v>
      </c>
      <c r="D35">
        <v>150</v>
      </c>
      <c r="E35" t="s">
        <v>138</v>
      </c>
      <c r="F35" t="s">
        <v>146</v>
      </c>
      <c r="G35" t="s">
        <v>138</v>
      </c>
      <c r="H35" t="s">
        <v>146</v>
      </c>
    </row>
    <row r="36" spans="2:8">
      <c r="C36">
        <v>5.5</v>
      </c>
      <c r="D36">
        <v>150</v>
      </c>
      <c r="E36" t="s">
        <v>138</v>
      </c>
      <c r="F36" t="s">
        <v>146</v>
      </c>
      <c r="G36" t="s">
        <v>138</v>
      </c>
      <c r="H36" t="s">
        <v>146</v>
      </c>
    </row>
    <row r="37" spans="2:8">
      <c r="B37" t="s">
        <v>159</v>
      </c>
      <c r="C37">
        <v>4.5</v>
      </c>
      <c r="D37">
        <v>-40</v>
      </c>
      <c r="E37" t="s">
        <v>140</v>
      </c>
      <c r="F37" t="s">
        <v>146</v>
      </c>
      <c r="G37" t="s">
        <v>140</v>
      </c>
      <c r="H37" t="s">
        <v>146</v>
      </c>
    </row>
    <row r="38" spans="2:8">
      <c r="C38">
        <v>5.5</v>
      </c>
      <c r="D38">
        <v>-40</v>
      </c>
      <c r="E38" t="s">
        <v>140</v>
      </c>
      <c r="F38" t="s">
        <v>146</v>
      </c>
      <c r="G38" t="s">
        <v>140</v>
      </c>
      <c r="H38" t="s">
        <v>146</v>
      </c>
    </row>
    <row r="39" spans="2:8">
      <c r="C39">
        <v>4.5</v>
      </c>
      <c r="D39">
        <v>150</v>
      </c>
      <c r="E39" t="s">
        <v>140</v>
      </c>
      <c r="F39" t="s">
        <v>146</v>
      </c>
      <c r="G39" t="s">
        <v>140</v>
      </c>
      <c r="H39" t="s">
        <v>146</v>
      </c>
    </row>
    <row r="40" spans="2:8">
      <c r="C40">
        <v>5.5</v>
      </c>
      <c r="D40">
        <v>150</v>
      </c>
      <c r="E40" t="s">
        <v>140</v>
      </c>
      <c r="F40" t="s">
        <v>146</v>
      </c>
      <c r="G40" t="s">
        <v>140</v>
      </c>
      <c r="H40" t="s">
        <v>146</v>
      </c>
    </row>
    <row r="41" spans="2:8">
      <c r="B41" t="s">
        <v>160</v>
      </c>
      <c r="C41">
        <v>4.5</v>
      </c>
      <c r="D41">
        <v>-40</v>
      </c>
      <c r="E41" t="s">
        <v>142</v>
      </c>
      <c r="F41" t="s">
        <v>146</v>
      </c>
      <c r="G41" t="s">
        <v>142</v>
      </c>
      <c r="H41" t="s">
        <v>146</v>
      </c>
    </row>
    <row r="42" spans="2:8">
      <c r="C42">
        <v>5.5</v>
      </c>
      <c r="D42">
        <v>-40</v>
      </c>
      <c r="E42" t="s">
        <v>142</v>
      </c>
      <c r="F42" t="s">
        <v>146</v>
      </c>
      <c r="G42" t="s">
        <v>142</v>
      </c>
      <c r="H42" t="s">
        <v>146</v>
      </c>
    </row>
    <row r="43" spans="2:8">
      <c r="C43">
        <v>4.5</v>
      </c>
      <c r="D43">
        <v>150</v>
      </c>
      <c r="E43" t="s">
        <v>142</v>
      </c>
      <c r="F43" t="s">
        <v>146</v>
      </c>
      <c r="G43" t="s">
        <v>142</v>
      </c>
      <c r="H43" t="s">
        <v>146</v>
      </c>
    </row>
    <row r="44" spans="2:8">
      <c r="C44">
        <v>5.5</v>
      </c>
      <c r="D44">
        <v>150</v>
      </c>
      <c r="E44" t="s">
        <v>142</v>
      </c>
      <c r="F44" t="s">
        <v>146</v>
      </c>
      <c r="G44" t="s">
        <v>142</v>
      </c>
      <c r="H44" t="s">
        <v>146</v>
      </c>
    </row>
    <row r="46" spans="2:8">
      <c r="B46" t="s">
        <v>163</v>
      </c>
    </row>
    <row r="47" spans="2:8">
      <c r="B47" t="s">
        <v>180</v>
      </c>
    </row>
    <row r="48" spans="2:8">
      <c r="B48" t="s">
        <v>179</v>
      </c>
    </row>
    <row r="50" spans="2:2">
      <c r="B50" t="s">
        <v>164</v>
      </c>
    </row>
    <row r="51" spans="2:2">
      <c r="B51" t="s">
        <v>165</v>
      </c>
    </row>
    <row r="52" spans="2:2">
      <c r="B52" t="s">
        <v>166</v>
      </c>
    </row>
    <row r="53" spans="2:2">
      <c r="B53" t="s">
        <v>180</v>
      </c>
    </row>
    <row r="54" spans="2:2">
      <c r="B54" t="s">
        <v>179</v>
      </c>
    </row>
    <row r="56" spans="2:2">
      <c r="B56" t="s">
        <v>167</v>
      </c>
    </row>
    <row r="57" spans="2:2">
      <c r="B57" t="s">
        <v>168</v>
      </c>
    </row>
    <row r="58" spans="2:2">
      <c r="B58" t="s">
        <v>169</v>
      </c>
    </row>
    <row r="59" spans="2:2">
      <c r="B59" t="s">
        <v>180</v>
      </c>
    </row>
    <row r="60" spans="2:2">
      <c r="B60" t="s">
        <v>179</v>
      </c>
    </row>
    <row r="62" spans="2:2">
      <c r="B62" t="s">
        <v>170</v>
      </c>
    </row>
    <row r="63" spans="2:2">
      <c r="B63" t="s">
        <v>171</v>
      </c>
    </row>
    <row r="64" spans="2:2">
      <c r="B64" t="s">
        <v>172</v>
      </c>
    </row>
    <row r="65" spans="2:2">
      <c r="B65" t="s">
        <v>180</v>
      </c>
    </row>
    <row r="66" spans="2:2">
      <c r="B66" t="s">
        <v>179</v>
      </c>
    </row>
    <row r="68" spans="2:2">
      <c r="B68" t="s">
        <v>173</v>
      </c>
    </row>
    <row r="69" spans="2:2">
      <c r="B69" t="s">
        <v>174</v>
      </c>
    </row>
    <row r="70" spans="2:2">
      <c r="B70" t="s">
        <v>175</v>
      </c>
    </row>
    <row r="71" spans="2:2">
      <c r="B71" t="s">
        <v>180</v>
      </c>
    </row>
    <row r="72" spans="2:2">
      <c r="B72" t="s">
        <v>179</v>
      </c>
    </row>
    <row r="74" spans="2:2">
      <c r="B74" t="s">
        <v>176</v>
      </c>
    </row>
    <row r="75" spans="2:2">
      <c r="B75" t="s">
        <v>165</v>
      </c>
    </row>
    <row r="76" spans="2:2">
      <c r="B76" t="s">
        <v>174</v>
      </c>
    </row>
    <row r="77" spans="2:2">
      <c r="B77" t="s">
        <v>166</v>
      </c>
    </row>
    <row r="78" spans="2:2">
      <c r="B78" t="s">
        <v>175</v>
      </c>
    </row>
    <row r="79" spans="2:2">
      <c r="B79" t="s">
        <v>180</v>
      </c>
    </row>
    <row r="80" spans="2:2">
      <c r="B80" t="s">
        <v>179</v>
      </c>
    </row>
    <row r="82" spans="2:2">
      <c r="B82" t="s">
        <v>177</v>
      </c>
    </row>
    <row r="83" spans="2:2">
      <c r="B83" t="s">
        <v>168</v>
      </c>
    </row>
    <row r="84" spans="2:2">
      <c r="B84" t="s">
        <v>174</v>
      </c>
    </row>
    <row r="85" spans="2:2">
      <c r="B85" t="s">
        <v>169</v>
      </c>
    </row>
    <row r="86" spans="2:2">
      <c r="B86" t="s">
        <v>175</v>
      </c>
    </row>
    <row r="87" spans="2:2">
      <c r="B87" t="s">
        <v>180</v>
      </c>
    </row>
    <row r="88" spans="2:2">
      <c r="B88" t="s">
        <v>179</v>
      </c>
    </row>
    <row r="90" spans="2:2">
      <c r="B90" t="s">
        <v>178</v>
      </c>
    </row>
    <row r="91" spans="2:2">
      <c r="B91" t="s">
        <v>171</v>
      </c>
    </row>
    <row r="92" spans="2:2">
      <c r="B92" t="s">
        <v>174</v>
      </c>
    </row>
    <row r="93" spans="2:2">
      <c r="B93" t="s">
        <v>172</v>
      </c>
    </row>
    <row r="94" spans="2:2">
      <c r="B94" t="s">
        <v>175</v>
      </c>
    </row>
    <row r="95" spans="2:2">
      <c r="B95" t="s">
        <v>180</v>
      </c>
    </row>
    <row r="96" spans="2:2">
      <c r="B96" t="s">
        <v>179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K36"/>
  <sheetViews>
    <sheetView zoomScale="70" zoomScaleNormal="70" workbookViewId="0">
      <selection activeCell="C7" sqref="C7"/>
    </sheetView>
  </sheetViews>
  <sheetFormatPr defaultRowHeight="13"/>
  <sheetData>
    <row r="2" spans="2:11">
      <c r="B2">
        <v>1</v>
      </c>
      <c r="C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</row>
    <row r="3" spans="2:11">
      <c r="B3">
        <v>2</v>
      </c>
      <c r="C3">
        <v>1</v>
      </c>
      <c r="E3">
        <v>0</v>
      </c>
      <c r="F3">
        <v>1</v>
      </c>
      <c r="G3">
        <v>1</v>
      </c>
      <c r="H3">
        <v>1</v>
      </c>
      <c r="I3">
        <v>1</v>
      </c>
      <c r="J3">
        <v>0</v>
      </c>
      <c r="K3">
        <v>1</v>
      </c>
    </row>
    <row r="4" spans="2:11">
      <c r="B4">
        <v>3</v>
      </c>
      <c r="C4">
        <v>1</v>
      </c>
      <c r="E4">
        <v>1</v>
      </c>
      <c r="F4">
        <v>1</v>
      </c>
      <c r="G4">
        <v>0</v>
      </c>
      <c r="H4">
        <v>1</v>
      </c>
      <c r="I4">
        <v>1</v>
      </c>
      <c r="J4">
        <v>1</v>
      </c>
      <c r="K4">
        <v>1</v>
      </c>
    </row>
    <row r="5" spans="2:11">
      <c r="B5">
        <v>4</v>
      </c>
      <c r="C5">
        <v>1</v>
      </c>
      <c r="E5">
        <v>0</v>
      </c>
      <c r="F5">
        <v>1</v>
      </c>
      <c r="G5">
        <v>1</v>
      </c>
      <c r="H5">
        <v>1</v>
      </c>
      <c r="I5">
        <v>1</v>
      </c>
      <c r="J5">
        <v>0</v>
      </c>
      <c r="K5">
        <v>1</v>
      </c>
    </row>
    <row r="6" spans="2:11">
      <c r="B6">
        <v>5</v>
      </c>
      <c r="C6">
        <v>1</v>
      </c>
      <c r="E6">
        <v>1</v>
      </c>
      <c r="F6">
        <v>1</v>
      </c>
      <c r="G6">
        <v>1</v>
      </c>
      <c r="H6">
        <v>0</v>
      </c>
      <c r="I6">
        <v>1</v>
      </c>
    </row>
    <row r="7" spans="2:11">
      <c r="B7">
        <v>6</v>
      </c>
      <c r="C7">
        <v>1</v>
      </c>
    </row>
    <row r="8" spans="2:11">
      <c r="B8">
        <v>7</v>
      </c>
      <c r="C8">
        <v>1</v>
      </c>
    </row>
    <row r="9" spans="2:11">
      <c r="B9">
        <v>1</v>
      </c>
      <c r="C9">
        <v>0</v>
      </c>
    </row>
    <row r="10" spans="2:11">
      <c r="B10">
        <v>2</v>
      </c>
      <c r="C10">
        <v>1</v>
      </c>
    </row>
    <row r="11" spans="2:11">
      <c r="B11">
        <v>3</v>
      </c>
      <c r="C11">
        <v>1</v>
      </c>
    </row>
    <row r="12" spans="2:11">
      <c r="B12">
        <v>4</v>
      </c>
      <c r="C12">
        <v>1</v>
      </c>
    </row>
    <row r="13" spans="2:11">
      <c r="B13">
        <v>5</v>
      </c>
      <c r="C13">
        <v>1</v>
      </c>
    </row>
    <row r="14" spans="2:11">
      <c r="B14">
        <v>6</v>
      </c>
      <c r="C14">
        <v>0</v>
      </c>
    </row>
    <row r="15" spans="2:11">
      <c r="B15">
        <v>7</v>
      </c>
      <c r="C15">
        <v>1</v>
      </c>
    </row>
    <row r="16" spans="2:11">
      <c r="B16">
        <v>1</v>
      </c>
      <c r="C16">
        <v>1</v>
      </c>
    </row>
    <row r="17" spans="2:3">
      <c r="B17">
        <v>2</v>
      </c>
      <c r="C17">
        <v>1</v>
      </c>
    </row>
    <row r="18" spans="2:3">
      <c r="B18">
        <v>3</v>
      </c>
      <c r="C18">
        <v>0</v>
      </c>
    </row>
    <row r="19" spans="2:3">
      <c r="B19">
        <v>4</v>
      </c>
      <c r="C19">
        <v>1</v>
      </c>
    </row>
    <row r="20" spans="2:3">
      <c r="B20">
        <v>5</v>
      </c>
      <c r="C20">
        <v>1</v>
      </c>
    </row>
    <row r="21" spans="2:3">
      <c r="B21">
        <v>6</v>
      </c>
      <c r="C21">
        <v>1</v>
      </c>
    </row>
    <row r="22" spans="2:3">
      <c r="B22">
        <v>7</v>
      </c>
      <c r="C22">
        <v>1</v>
      </c>
    </row>
    <row r="23" spans="2:3">
      <c r="B23">
        <v>1</v>
      </c>
      <c r="C23">
        <v>0</v>
      </c>
    </row>
    <row r="24" spans="2:3">
      <c r="B24">
        <v>2</v>
      </c>
      <c r="C24">
        <v>1</v>
      </c>
    </row>
    <row r="25" spans="2:3">
      <c r="B25">
        <v>3</v>
      </c>
      <c r="C25">
        <v>1</v>
      </c>
    </row>
    <row r="26" spans="2:3">
      <c r="B26">
        <v>4</v>
      </c>
      <c r="C26">
        <v>1</v>
      </c>
    </row>
    <row r="27" spans="2:3">
      <c r="B27">
        <v>5</v>
      </c>
      <c r="C27">
        <v>1</v>
      </c>
    </row>
    <row r="28" spans="2:3">
      <c r="B28">
        <v>6</v>
      </c>
      <c r="C28">
        <v>0</v>
      </c>
    </row>
    <row r="29" spans="2:3">
      <c r="B29">
        <v>7</v>
      </c>
      <c r="C29">
        <v>1</v>
      </c>
    </row>
    <row r="30" spans="2:3">
      <c r="B30">
        <v>1</v>
      </c>
      <c r="C30">
        <v>1</v>
      </c>
    </row>
    <row r="31" spans="2:3">
      <c r="B31">
        <v>2</v>
      </c>
      <c r="C31">
        <v>1</v>
      </c>
    </row>
    <row r="32" spans="2:3">
      <c r="B32">
        <v>3</v>
      </c>
      <c r="C32">
        <v>1</v>
      </c>
    </row>
    <row r="33" spans="2:3">
      <c r="B33">
        <v>4</v>
      </c>
      <c r="C33">
        <v>0</v>
      </c>
    </row>
    <row r="34" spans="2:3">
      <c r="B34">
        <v>5</v>
      </c>
      <c r="C34">
        <v>1</v>
      </c>
    </row>
    <row r="35" spans="2:3">
      <c r="B35">
        <v>6</v>
      </c>
    </row>
    <row r="36" spans="2:3">
      <c r="B36">
        <v>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I76"/>
  <sheetViews>
    <sheetView zoomScale="55" zoomScaleNormal="55" workbookViewId="0">
      <selection activeCell="E30" sqref="E30"/>
    </sheetView>
  </sheetViews>
  <sheetFormatPr defaultRowHeight="13"/>
  <cols>
    <col min="3" max="3" width="11.90625" bestFit="1" customWidth="1"/>
  </cols>
  <sheetData>
    <row r="3" spans="2:9">
      <c r="B3">
        <v>0</v>
      </c>
      <c r="C3" t="s">
        <v>66</v>
      </c>
      <c r="D3">
        <v>4.5</v>
      </c>
      <c r="E3">
        <v>5.5</v>
      </c>
    </row>
    <row r="4" spans="2:9">
      <c r="B4">
        <v>1</v>
      </c>
      <c r="C4" t="s">
        <v>67</v>
      </c>
      <c r="D4">
        <v>-40</v>
      </c>
      <c r="E4">
        <v>150</v>
      </c>
    </row>
    <row r="5" spans="2:9">
      <c r="B5">
        <v>2</v>
      </c>
      <c r="C5" t="s">
        <v>185</v>
      </c>
      <c r="D5">
        <v>1.998</v>
      </c>
      <c r="E5">
        <v>2.0019999999999998</v>
      </c>
    </row>
    <row r="6" spans="2:9">
      <c r="B6">
        <v>3</v>
      </c>
      <c r="C6" t="s">
        <v>132</v>
      </c>
      <c r="D6" t="s">
        <v>186</v>
      </c>
      <c r="E6" t="s">
        <v>187</v>
      </c>
      <c r="F6" t="s">
        <v>188</v>
      </c>
      <c r="G6" t="s">
        <v>189</v>
      </c>
    </row>
    <row r="7" spans="2:9">
      <c r="B7">
        <v>4</v>
      </c>
      <c r="C7" t="s">
        <v>134</v>
      </c>
      <c r="D7" t="s">
        <v>190</v>
      </c>
      <c r="E7" t="s">
        <v>191</v>
      </c>
    </row>
    <row r="8" spans="2:9">
      <c r="B8">
        <v>5</v>
      </c>
      <c r="C8" t="s">
        <v>192</v>
      </c>
      <c r="D8" t="s">
        <v>193</v>
      </c>
      <c r="E8" t="s">
        <v>194</v>
      </c>
      <c r="F8" t="s">
        <v>195</v>
      </c>
      <c r="G8" t="s">
        <v>196</v>
      </c>
    </row>
    <row r="9" spans="2:9">
      <c r="B9">
        <v>6</v>
      </c>
      <c r="C9" t="s">
        <v>197</v>
      </c>
      <c r="D9" t="s">
        <v>198</v>
      </c>
      <c r="E9" t="s">
        <v>199</v>
      </c>
    </row>
    <row r="11" spans="2:9">
      <c r="B11" t="s">
        <v>200</v>
      </c>
      <c r="C11">
        <v>4.5</v>
      </c>
      <c r="D11">
        <v>-40</v>
      </c>
      <c r="E11">
        <v>1.998</v>
      </c>
      <c r="F11" t="s">
        <v>136</v>
      </c>
      <c r="G11" t="s">
        <v>144</v>
      </c>
      <c r="H11" t="s">
        <v>136</v>
      </c>
      <c r="I11" t="s">
        <v>144</v>
      </c>
    </row>
    <row r="12" spans="2:9">
      <c r="B12" t="s">
        <v>152</v>
      </c>
      <c r="C12" t="s">
        <v>66</v>
      </c>
      <c r="D12" t="s">
        <v>67</v>
      </c>
      <c r="E12" t="s">
        <v>183</v>
      </c>
      <c r="F12" t="s">
        <v>132</v>
      </c>
      <c r="G12" t="s">
        <v>134</v>
      </c>
      <c r="H12" t="s">
        <v>150</v>
      </c>
      <c r="I12" t="s">
        <v>148</v>
      </c>
    </row>
    <row r="13" spans="2:9">
      <c r="B13" t="s">
        <v>153</v>
      </c>
      <c r="C13">
        <v>4.5</v>
      </c>
      <c r="D13">
        <v>-40</v>
      </c>
      <c r="E13">
        <v>1.998</v>
      </c>
      <c r="F13" t="s">
        <v>136</v>
      </c>
      <c r="G13" t="s">
        <v>144</v>
      </c>
      <c r="H13" t="s">
        <v>136</v>
      </c>
      <c r="I13" t="s">
        <v>144</v>
      </c>
    </row>
    <row r="14" spans="2:9">
      <c r="C14">
        <v>5.5</v>
      </c>
      <c r="D14">
        <v>-40</v>
      </c>
      <c r="E14">
        <v>1.998</v>
      </c>
      <c r="F14" t="s">
        <v>136</v>
      </c>
      <c r="G14" t="s">
        <v>144</v>
      </c>
      <c r="H14" t="s">
        <v>136</v>
      </c>
      <c r="I14" t="s">
        <v>144</v>
      </c>
    </row>
    <row r="15" spans="2:9">
      <c r="C15">
        <v>4.5</v>
      </c>
      <c r="D15">
        <v>150</v>
      </c>
      <c r="E15">
        <v>1.998</v>
      </c>
      <c r="F15" t="s">
        <v>136</v>
      </c>
      <c r="G15" t="s">
        <v>144</v>
      </c>
      <c r="H15" t="s">
        <v>136</v>
      </c>
      <c r="I15" t="s">
        <v>144</v>
      </c>
    </row>
    <row r="16" spans="2:9">
      <c r="C16">
        <v>5.5</v>
      </c>
      <c r="D16">
        <v>150</v>
      </c>
      <c r="E16">
        <v>1.998</v>
      </c>
      <c r="F16" t="s">
        <v>136</v>
      </c>
      <c r="G16" t="s">
        <v>144</v>
      </c>
      <c r="H16" t="s">
        <v>136</v>
      </c>
      <c r="I16" t="s">
        <v>144</v>
      </c>
    </row>
    <row r="17" spans="2:9">
      <c r="C17">
        <v>4.5</v>
      </c>
      <c r="D17">
        <v>-40</v>
      </c>
      <c r="E17">
        <v>2.0019999999999998</v>
      </c>
      <c r="F17" t="s">
        <v>136</v>
      </c>
      <c r="G17" t="s">
        <v>144</v>
      </c>
      <c r="H17" t="s">
        <v>136</v>
      </c>
      <c r="I17" t="s">
        <v>144</v>
      </c>
    </row>
    <row r="18" spans="2:9">
      <c r="C18">
        <v>5.5</v>
      </c>
      <c r="D18">
        <v>-40</v>
      </c>
      <c r="E18">
        <v>2.0019999999999998</v>
      </c>
      <c r="F18" t="s">
        <v>136</v>
      </c>
      <c r="G18" t="s">
        <v>144</v>
      </c>
      <c r="H18" t="s">
        <v>136</v>
      </c>
      <c r="I18" t="s">
        <v>144</v>
      </c>
    </row>
    <row r="19" spans="2:9">
      <c r="C19">
        <v>4.5</v>
      </c>
      <c r="D19">
        <v>150</v>
      </c>
      <c r="E19">
        <v>2.0019999999999998</v>
      </c>
      <c r="F19" t="s">
        <v>136</v>
      </c>
      <c r="G19" t="s">
        <v>144</v>
      </c>
      <c r="H19" t="s">
        <v>136</v>
      </c>
      <c r="I19" t="s">
        <v>144</v>
      </c>
    </row>
    <row r="20" spans="2:9">
      <c r="C20">
        <v>5.5</v>
      </c>
      <c r="D20">
        <v>150</v>
      </c>
      <c r="E20">
        <v>2.0019999999999998</v>
      </c>
      <c r="F20" t="s">
        <v>136</v>
      </c>
      <c r="G20" t="s">
        <v>144</v>
      </c>
      <c r="H20" t="s">
        <v>136</v>
      </c>
      <c r="I20" t="s">
        <v>144</v>
      </c>
    </row>
    <row r="21" spans="2:9">
      <c r="B21" t="s">
        <v>154</v>
      </c>
      <c r="C21">
        <v>4.5</v>
      </c>
      <c r="D21">
        <v>-40</v>
      </c>
      <c r="E21">
        <v>1.998</v>
      </c>
      <c r="F21" t="s">
        <v>138</v>
      </c>
      <c r="G21" t="s">
        <v>144</v>
      </c>
      <c r="H21" t="s">
        <v>138</v>
      </c>
      <c r="I21" t="s">
        <v>144</v>
      </c>
    </row>
    <row r="22" spans="2:9">
      <c r="C22">
        <v>5.5</v>
      </c>
      <c r="D22">
        <v>-40</v>
      </c>
      <c r="E22">
        <v>1.998</v>
      </c>
      <c r="F22" t="s">
        <v>138</v>
      </c>
      <c r="G22" t="s">
        <v>144</v>
      </c>
      <c r="H22" t="s">
        <v>138</v>
      </c>
      <c r="I22" t="s">
        <v>144</v>
      </c>
    </row>
    <row r="23" spans="2:9">
      <c r="C23">
        <v>4.5</v>
      </c>
      <c r="D23">
        <v>150</v>
      </c>
      <c r="E23">
        <v>1.998</v>
      </c>
      <c r="F23" t="s">
        <v>138</v>
      </c>
      <c r="G23" t="s">
        <v>144</v>
      </c>
      <c r="H23" t="s">
        <v>138</v>
      </c>
      <c r="I23" t="s">
        <v>144</v>
      </c>
    </row>
    <row r="24" spans="2:9">
      <c r="C24">
        <v>5.5</v>
      </c>
      <c r="D24">
        <v>150</v>
      </c>
      <c r="E24">
        <v>1.998</v>
      </c>
      <c r="F24" t="s">
        <v>138</v>
      </c>
      <c r="G24" t="s">
        <v>144</v>
      </c>
      <c r="H24" t="s">
        <v>138</v>
      </c>
      <c r="I24" t="s">
        <v>144</v>
      </c>
    </row>
    <row r="25" spans="2:9">
      <c r="C25">
        <v>4.5</v>
      </c>
      <c r="D25">
        <v>-40</v>
      </c>
      <c r="E25">
        <v>2.0019999999999998</v>
      </c>
      <c r="F25" t="s">
        <v>138</v>
      </c>
      <c r="G25" t="s">
        <v>144</v>
      </c>
      <c r="H25" t="s">
        <v>138</v>
      </c>
      <c r="I25" t="s">
        <v>144</v>
      </c>
    </row>
    <row r="26" spans="2:9">
      <c r="C26">
        <v>5.5</v>
      </c>
      <c r="D26">
        <v>-40</v>
      </c>
      <c r="E26">
        <v>2.0019999999999998</v>
      </c>
      <c r="F26" t="s">
        <v>138</v>
      </c>
      <c r="G26" t="s">
        <v>144</v>
      </c>
      <c r="H26" t="s">
        <v>138</v>
      </c>
      <c r="I26" t="s">
        <v>144</v>
      </c>
    </row>
    <row r="27" spans="2:9">
      <c r="C27">
        <v>4.5</v>
      </c>
      <c r="D27">
        <v>150</v>
      </c>
      <c r="E27">
        <v>2.0019999999999998</v>
      </c>
      <c r="F27" t="s">
        <v>138</v>
      </c>
      <c r="G27" t="s">
        <v>144</v>
      </c>
      <c r="H27" t="s">
        <v>138</v>
      </c>
      <c r="I27" t="s">
        <v>144</v>
      </c>
    </row>
    <row r="28" spans="2:9">
      <c r="C28">
        <v>5.5</v>
      </c>
      <c r="D28">
        <v>150</v>
      </c>
      <c r="E28">
        <v>2.0019999999999998</v>
      </c>
      <c r="F28" t="s">
        <v>138</v>
      </c>
      <c r="G28" t="s">
        <v>144</v>
      </c>
      <c r="H28" t="s">
        <v>138</v>
      </c>
      <c r="I28" t="s">
        <v>144</v>
      </c>
    </row>
    <row r="29" spans="2:9">
      <c r="B29" t="s">
        <v>155</v>
      </c>
      <c r="C29">
        <v>4.5</v>
      </c>
      <c r="D29">
        <v>-40</v>
      </c>
      <c r="E29">
        <v>1.998</v>
      </c>
      <c r="F29" t="s">
        <v>140</v>
      </c>
      <c r="G29" t="s">
        <v>144</v>
      </c>
      <c r="H29" t="s">
        <v>140</v>
      </c>
      <c r="I29" t="s">
        <v>144</v>
      </c>
    </row>
    <row r="30" spans="2:9">
      <c r="C30">
        <v>5.5</v>
      </c>
      <c r="D30">
        <v>-40</v>
      </c>
      <c r="E30">
        <v>1.998</v>
      </c>
      <c r="F30" t="s">
        <v>140</v>
      </c>
      <c r="G30" t="s">
        <v>144</v>
      </c>
      <c r="H30" t="s">
        <v>140</v>
      </c>
      <c r="I30" t="s">
        <v>144</v>
      </c>
    </row>
    <row r="31" spans="2:9">
      <c r="C31">
        <v>4.5</v>
      </c>
      <c r="D31">
        <v>150</v>
      </c>
      <c r="E31">
        <v>1.998</v>
      </c>
      <c r="F31" t="s">
        <v>140</v>
      </c>
      <c r="G31" t="s">
        <v>144</v>
      </c>
      <c r="H31" t="s">
        <v>140</v>
      </c>
      <c r="I31" t="s">
        <v>144</v>
      </c>
    </row>
    <row r="32" spans="2:9">
      <c r="C32">
        <v>5.5</v>
      </c>
      <c r="D32">
        <v>150</v>
      </c>
      <c r="E32">
        <v>1.998</v>
      </c>
      <c r="F32" t="s">
        <v>140</v>
      </c>
      <c r="G32" t="s">
        <v>144</v>
      </c>
      <c r="H32" t="s">
        <v>140</v>
      </c>
      <c r="I32" t="s">
        <v>144</v>
      </c>
    </row>
    <row r="33" spans="2:9">
      <c r="C33">
        <v>4.5</v>
      </c>
      <c r="D33">
        <v>-40</v>
      </c>
      <c r="E33">
        <v>2.0019999999999998</v>
      </c>
      <c r="F33" t="s">
        <v>140</v>
      </c>
      <c r="G33" t="s">
        <v>144</v>
      </c>
      <c r="H33" t="s">
        <v>140</v>
      </c>
      <c r="I33" t="s">
        <v>144</v>
      </c>
    </row>
    <row r="34" spans="2:9">
      <c r="C34">
        <v>5.5</v>
      </c>
      <c r="D34">
        <v>-40</v>
      </c>
      <c r="E34">
        <v>2.0019999999999998</v>
      </c>
      <c r="F34" t="s">
        <v>140</v>
      </c>
      <c r="G34" t="s">
        <v>144</v>
      </c>
      <c r="H34" t="s">
        <v>140</v>
      </c>
      <c r="I34" t="s">
        <v>144</v>
      </c>
    </row>
    <row r="35" spans="2:9">
      <c r="C35">
        <v>4.5</v>
      </c>
      <c r="D35">
        <v>150</v>
      </c>
      <c r="E35">
        <v>2.0019999999999998</v>
      </c>
      <c r="F35" t="s">
        <v>140</v>
      </c>
      <c r="G35" t="s">
        <v>144</v>
      </c>
      <c r="H35" t="s">
        <v>140</v>
      </c>
      <c r="I35" t="s">
        <v>144</v>
      </c>
    </row>
    <row r="36" spans="2:9">
      <c r="C36">
        <v>5.5</v>
      </c>
      <c r="D36">
        <v>150</v>
      </c>
      <c r="E36">
        <v>2.0019999999999998</v>
      </c>
      <c r="F36" t="s">
        <v>140</v>
      </c>
      <c r="G36" t="s">
        <v>144</v>
      </c>
      <c r="H36" t="s">
        <v>140</v>
      </c>
      <c r="I36" t="s">
        <v>144</v>
      </c>
    </row>
    <row r="37" spans="2:9">
      <c r="B37" t="s">
        <v>156</v>
      </c>
      <c r="C37">
        <v>4.5</v>
      </c>
      <c r="D37">
        <v>-40</v>
      </c>
      <c r="E37">
        <v>1.998</v>
      </c>
      <c r="F37" t="s">
        <v>142</v>
      </c>
      <c r="G37" t="s">
        <v>144</v>
      </c>
      <c r="H37" t="s">
        <v>142</v>
      </c>
      <c r="I37" t="s">
        <v>144</v>
      </c>
    </row>
    <row r="38" spans="2:9">
      <c r="C38">
        <v>5.5</v>
      </c>
      <c r="D38">
        <v>-40</v>
      </c>
      <c r="E38">
        <v>1.998</v>
      </c>
      <c r="F38" t="s">
        <v>142</v>
      </c>
      <c r="G38" t="s">
        <v>144</v>
      </c>
      <c r="H38" t="s">
        <v>142</v>
      </c>
      <c r="I38" t="s">
        <v>144</v>
      </c>
    </row>
    <row r="39" spans="2:9">
      <c r="C39">
        <v>4.5</v>
      </c>
      <c r="D39">
        <v>150</v>
      </c>
      <c r="E39">
        <v>1.998</v>
      </c>
      <c r="F39" t="s">
        <v>142</v>
      </c>
      <c r="G39" t="s">
        <v>144</v>
      </c>
      <c r="H39" t="s">
        <v>142</v>
      </c>
      <c r="I39" t="s">
        <v>144</v>
      </c>
    </row>
    <row r="40" spans="2:9">
      <c r="C40">
        <v>5.5</v>
      </c>
      <c r="D40">
        <v>150</v>
      </c>
      <c r="E40">
        <v>1.998</v>
      </c>
      <c r="F40" t="s">
        <v>142</v>
      </c>
      <c r="G40" t="s">
        <v>144</v>
      </c>
      <c r="H40" t="s">
        <v>142</v>
      </c>
      <c r="I40" t="s">
        <v>144</v>
      </c>
    </row>
    <row r="41" spans="2:9">
      <c r="C41">
        <v>4.5</v>
      </c>
      <c r="D41">
        <v>-40</v>
      </c>
      <c r="E41">
        <v>2.0019999999999998</v>
      </c>
      <c r="F41" t="s">
        <v>142</v>
      </c>
      <c r="G41" t="s">
        <v>144</v>
      </c>
      <c r="H41" t="s">
        <v>142</v>
      </c>
      <c r="I41" t="s">
        <v>144</v>
      </c>
    </row>
    <row r="42" spans="2:9">
      <c r="C42">
        <v>5.5</v>
      </c>
      <c r="D42">
        <v>-40</v>
      </c>
      <c r="E42">
        <v>2.0019999999999998</v>
      </c>
      <c r="F42" t="s">
        <v>142</v>
      </c>
      <c r="G42" t="s">
        <v>144</v>
      </c>
      <c r="H42" t="s">
        <v>142</v>
      </c>
      <c r="I42" t="s">
        <v>144</v>
      </c>
    </row>
    <row r="43" spans="2:9">
      <c r="C43">
        <v>4.5</v>
      </c>
      <c r="D43">
        <v>150</v>
      </c>
      <c r="E43">
        <v>2.0019999999999998</v>
      </c>
      <c r="F43" t="s">
        <v>142</v>
      </c>
      <c r="G43" t="s">
        <v>144</v>
      </c>
      <c r="H43" t="s">
        <v>142</v>
      </c>
      <c r="I43" t="s">
        <v>144</v>
      </c>
    </row>
    <row r="44" spans="2:9">
      <c r="C44">
        <v>5.5</v>
      </c>
      <c r="D44">
        <v>150</v>
      </c>
      <c r="E44">
        <v>2.0019999999999998</v>
      </c>
      <c r="F44" t="s">
        <v>142</v>
      </c>
      <c r="G44" t="s">
        <v>144</v>
      </c>
      <c r="H44" t="s">
        <v>142</v>
      </c>
      <c r="I44" t="s">
        <v>144</v>
      </c>
    </row>
    <row r="45" spans="2:9">
      <c r="B45" t="s">
        <v>157</v>
      </c>
      <c r="C45">
        <v>4.5</v>
      </c>
      <c r="D45">
        <v>-40</v>
      </c>
      <c r="E45">
        <v>1.998</v>
      </c>
      <c r="F45" t="s">
        <v>136</v>
      </c>
      <c r="G45" t="s">
        <v>146</v>
      </c>
      <c r="H45" t="s">
        <v>136</v>
      </c>
      <c r="I45" t="s">
        <v>146</v>
      </c>
    </row>
    <row r="46" spans="2:9">
      <c r="C46">
        <v>5.5</v>
      </c>
      <c r="D46">
        <v>-40</v>
      </c>
      <c r="E46">
        <v>1.998</v>
      </c>
      <c r="F46" t="s">
        <v>136</v>
      </c>
      <c r="G46" t="s">
        <v>146</v>
      </c>
      <c r="H46" t="s">
        <v>136</v>
      </c>
      <c r="I46" t="s">
        <v>146</v>
      </c>
    </row>
    <row r="47" spans="2:9">
      <c r="C47">
        <v>4.5</v>
      </c>
      <c r="D47">
        <v>150</v>
      </c>
      <c r="E47">
        <v>1.998</v>
      </c>
      <c r="F47" t="s">
        <v>136</v>
      </c>
      <c r="G47" t="s">
        <v>146</v>
      </c>
      <c r="H47" t="s">
        <v>136</v>
      </c>
      <c r="I47" t="s">
        <v>146</v>
      </c>
    </row>
    <row r="48" spans="2:9">
      <c r="C48">
        <v>5.5</v>
      </c>
      <c r="D48">
        <v>150</v>
      </c>
      <c r="E48">
        <v>1.998</v>
      </c>
      <c r="F48" t="s">
        <v>136</v>
      </c>
      <c r="G48" t="s">
        <v>146</v>
      </c>
      <c r="H48" t="s">
        <v>136</v>
      </c>
      <c r="I48" t="s">
        <v>146</v>
      </c>
    </row>
    <row r="49" spans="2:9">
      <c r="C49">
        <v>4.5</v>
      </c>
      <c r="D49">
        <v>-40</v>
      </c>
      <c r="E49">
        <v>2.0019999999999998</v>
      </c>
      <c r="F49" t="s">
        <v>136</v>
      </c>
      <c r="G49" t="s">
        <v>146</v>
      </c>
      <c r="H49" t="s">
        <v>136</v>
      </c>
      <c r="I49" t="s">
        <v>146</v>
      </c>
    </row>
    <row r="50" spans="2:9">
      <c r="C50">
        <v>5.5</v>
      </c>
      <c r="D50">
        <v>-40</v>
      </c>
      <c r="E50">
        <v>2.0019999999999998</v>
      </c>
      <c r="F50" t="s">
        <v>136</v>
      </c>
      <c r="G50" t="s">
        <v>146</v>
      </c>
      <c r="H50" t="s">
        <v>136</v>
      </c>
      <c r="I50" t="s">
        <v>146</v>
      </c>
    </row>
    <row r="51" spans="2:9">
      <c r="C51">
        <v>4.5</v>
      </c>
      <c r="D51">
        <v>150</v>
      </c>
      <c r="E51">
        <v>2.0019999999999998</v>
      </c>
      <c r="F51" t="s">
        <v>136</v>
      </c>
      <c r="G51" t="s">
        <v>146</v>
      </c>
      <c r="H51" t="s">
        <v>136</v>
      </c>
      <c r="I51" t="s">
        <v>146</v>
      </c>
    </row>
    <row r="52" spans="2:9">
      <c r="C52">
        <v>5.5</v>
      </c>
      <c r="D52">
        <v>150</v>
      </c>
      <c r="E52">
        <v>2.0019999999999998</v>
      </c>
      <c r="F52" t="s">
        <v>136</v>
      </c>
      <c r="G52" t="s">
        <v>146</v>
      </c>
      <c r="H52" t="s">
        <v>136</v>
      </c>
      <c r="I52" t="s">
        <v>146</v>
      </c>
    </row>
    <row r="53" spans="2:9">
      <c r="B53" t="s">
        <v>158</v>
      </c>
      <c r="C53">
        <v>4.5</v>
      </c>
      <c r="D53">
        <v>-40</v>
      </c>
      <c r="E53">
        <v>1.998</v>
      </c>
      <c r="F53" t="s">
        <v>138</v>
      </c>
      <c r="G53" t="s">
        <v>146</v>
      </c>
      <c r="H53" t="s">
        <v>138</v>
      </c>
      <c r="I53" t="s">
        <v>146</v>
      </c>
    </row>
    <row r="54" spans="2:9">
      <c r="C54">
        <v>5.5</v>
      </c>
      <c r="D54">
        <v>-40</v>
      </c>
      <c r="E54">
        <v>1.998</v>
      </c>
      <c r="F54" t="s">
        <v>138</v>
      </c>
      <c r="G54" t="s">
        <v>146</v>
      </c>
      <c r="H54" t="s">
        <v>138</v>
      </c>
      <c r="I54" t="s">
        <v>146</v>
      </c>
    </row>
    <row r="55" spans="2:9">
      <c r="C55">
        <v>4.5</v>
      </c>
      <c r="D55">
        <v>150</v>
      </c>
      <c r="E55">
        <v>1.998</v>
      </c>
      <c r="F55" t="s">
        <v>138</v>
      </c>
      <c r="G55" t="s">
        <v>146</v>
      </c>
      <c r="H55" t="s">
        <v>138</v>
      </c>
      <c r="I55" t="s">
        <v>146</v>
      </c>
    </row>
    <row r="56" spans="2:9">
      <c r="C56">
        <v>5.5</v>
      </c>
      <c r="D56">
        <v>150</v>
      </c>
      <c r="E56">
        <v>1.998</v>
      </c>
      <c r="F56" t="s">
        <v>138</v>
      </c>
      <c r="G56" t="s">
        <v>146</v>
      </c>
      <c r="H56" t="s">
        <v>138</v>
      </c>
      <c r="I56" t="s">
        <v>146</v>
      </c>
    </row>
    <row r="57" spans="2:9">
      <c r="C57">
        <v>4.5</v>
      </c>
      <c r="D57">
        <v>-40</v>
      </c>
      <c r="E57">
        <v>2.0019999999999998</v>
      </c>
      <c r="F57" t="s">
        <v>138</v>
      </c>
      <c r="G57" t="s">
        <v>146</v>
      </c>
      <c r="H57" t="s">
        <v>138</v>
      </c>
      <c r="I57" t="s">
        <v>146</v>
      </c>
    </row>
    <row r="58" spans="2:9">
      <c r="C58">
        <v>5.5</v>
      </c>
      <c r="D58">
        <v>-40</v>
      </c>
      <c r="E58">
        <v>2.0019999999999998</v>
      </c>
      <c r="F58" t="s">
        <v>138</v>
      </c>
      <c r="G58" t="s">
        <v>146</v>
      </c>
      <c r="H58" t="s">
        <v>138</v>
      </c>
      <c r="I58" t="s">
        <v>146</v>
      </c>
    </row>
    <row r="59" spans="2:9">
      <c r="C59">
        <v>4.5</v>
      </c>
      <c r="D59">
        <v>150</v>
      </c>
      <c r="E59">
        <v>2.0019999999999998</v>
      </c>
      <c r="F59" t="s">
        <v>138</v>
      </c>
      <c r="G59" t="s">
        <v>146</v>
      </c>
      <c r="H59" t="s">
        <v>138</v>
      </c>
      <c r="I59" t="s">
        <v>146</v>
      </c>
    </row>
    <row r="60" spans="2:9">
      <c r="C60">
        <v>5.5</v>
      </c>
      <c r="D60">
        <v>150</v>
      </c>
      <c r="E60">
        <v>2.0019999999999998</v>
      </c>
      <c r="F60" t="s">
        <v>138</v>
      </c>
      <c r="G60" t="s">
        <v>146</v>
      </c>
      <c r="H60" t="s">
        <v>138</v>
      </c>
      <c r="I60" t="s">
        <v>146</v>
      </c>
    </row>
    <row r="61" spans="2:9">
      <c r="B61" t="s">
        <v>159</v>
      </c>
      <c r="C61">
        <v>4.5</v>
      </c>
      <c r="D61">
        <v>-40</v>
      </c>
      <c r="E61">
        <v>1.998</v>
      </c>
      <c r="F61" t="s">
        <v>140</v>
      </c>
      <c r="G61" t="s">
        <v>146</v>
      </c>
      <c r="H61" t="s">
        <v>140</v>
      </c>
      <c r="I61" t="s">
        <v>146</v>
      </c>
    </row>
    <row r="62" spans="2:9">
      <c r="C62">
        <v>5.5</v>
      </c>
      <c r="D62">
        <v>-40</v>
      </c>
      <c r="E62">
        <v>1.998</v>
      </c>
      <c r="F62" t="s">
        <v>140</v>
      </c>
      <c r="G62" t="s">
        <v>146</v>
      </c>
      <c r="H62" t="s">
        <v>140</v>
      </c>
      <c r="I62" t="s">
        <v>146</v>
      </c>
    </row>
    <row r="63" spans="2:9">
      <c r="C63">
        <v>4.5</v>
      </c>
      <c r="D63">
        <v>150</v>
      </c>
      <c r="E63">
        <v>1.998</v>
      </c>
      <c r="F63" t="s">
        <v>140</v>
      </c>
      <c r="G63" t="s">
        <v>146</v>
      </c>
      <c r="H63" t="s">
        <v>140</v>
      </c>
      <c r="I63" t="s">
        <v>146</v>
      </c>
    </row>
    <row r="64" spans="2:9">
      <c r="C64">
        <v>5.5</v>
      </c>
      <c r="D64">
        <v>150</v>
      </c>
      <c r="E64">
        <v>1.998</v>
      </c>
      <c r="F64" t="s">
        <v>140</v>
      </c>
      <c r="G64" t="s">
        <v>146</v>
      </c>
      <c r="H64" t="s">
        <v>140</v>
      </c>
      <c r="I64" t="s">
        <v>146</v>
      </c>
    </row>
    <row r="65" spans="2:9">
      <c r="C65">
        <v>4.5</v>
      </c>
      <c r="D65">
        <v>-40</v>
      </c>
      <c r="E65">
        <v>2.0019999999999998</v>
      </c>
      <c r="F65" t="s">
        <v>140</v>
      </c>
      <c r="G65" t="s">
        <v>146</v>
      </c>
      <c r="H65" t="s">
        <v>140</v>
      </c>
      <c r="I65" t="s">
        <v>146</v>
      </c>
    </row>
    <row r="66" spans="2:9">
      <c r="C66">
        <v>5.5</v>
      </c>
      <c r="D66">
        <v>-40</v>
      </c>
      <c r="E66">
        <v>2.0019999999999998</v>
      </c>
      <c r="F66" t="s">
        <v>140</v>
      </c>
      <c r="G66" t="s">
        <v>146</v>
      </c>
      <c r="H66" t="s">
        <v>140</v>
      </c>
      <c r="I66" t="s">
        <v>146</v>
      </c>
    </row>
    <row r="67" spans="2:9">
      <c r="C67">
        <v>4.5</v>
      </c>
      <c r="D67">
        <v>150</v>
      </c>
      <c r="E67">
        <v>2.0019999999999998</v>
      </c>
      <c r="F67" t="s">
        <v>140</v>
      </c>
      <c r="G67" t="s">
        <v>146</v>
      </c>
      <c r="H67" t="s">
        <v>140</v>
      </c>
      <c r="I67" t="s">
        <v>146</v>
      </c>
    </row>
    <row r="68" spans="2:9">
      <c r="C68">
        <v>5.5</v>
      </c>
      <c r="D68">
        <v>150</v>
      </c>
      <c r="E68">
        <v>2.0019999999999998</v>
      </c>
      <c r="F68" t="s">
        <v>140</v>
      </c>
      <c r="G68" t="s">
        <v>146</v>
      </c>
      <c r="H68" t="s">
        <v>140</v>
      </c>
      <c r="I68" t="s">
        <v>146</v>
      </c>
    </row>
    <row r="69" spans="2:9">
      <c r="B69" t="s">
        <v>160</v>
      </c>
      <c r="C69">
        <v>4.5</v>
      </c>
      <c r="D69">
        <v>-40</v>
      </c>
      <c r="E69">
        <v>1.998</v>
      </c>
      <c r="F69" t="s">
        <v>142</v>
      </c>
      <c r="G69" t="s">
        <v>146</v>
      </c>
      <c r="H69" t="s">
        <v>142</v>
      </c>
      <c r="I69" t="s">
        <v>146</v>
      </c>
    </row>
    <row r="70" spans="2:9">
      <c r="C70">
        <v>5.5</v>
      </c>
      <c r="D70">
        <v>-40</v>
      </c>
      <c r="E70">
        <v>1.998</v>
      </c>
      <c r="F70" t="s">
        <v>142</v>
      </c>
      <c r="G70" t="s">
        <v>146</v>
      </c>
      <c r="H70" t="s">
        <v>142</v>
      </c>
      <c r="I70" t="s">
        <v>146</v>
      </c>
    </row>
    <row r="71" spans="2:9">
      <c r="C71">
        <v>4.5</v>
      </c>
      <c r="D71">
        <v>150</v>
      </c>
      <c r="E71">
        <v>1.998</v>
      </c>
      <c r="F71" t="s">
        <v>142</v>
      </c>
      <c r="G71" t="s">
        <v>146</v>
      </c>
      <c r="H71" t="s">
        <v>142</v>
      </c>
      <c r="I71" t="s">
        <v>146</v>
      </c>
    </row>
    <row r="72" spans="2:9">
      <c r="C72">
        <v>5.5</v>
      </c>
      <c r="D72">
        <v>150</v>
      </c>
      <c r="E72">
        <v>1.998</v>
      </c>
      <c r="F72" t="s">
        <v>142</v>
      </c>
      <c r="G72" t="s">
        <v>146</v>
      </c>
      <c r="H72" t="s">
        <v>142</v>
      </c>
      <c r="I72" t="s">
        <v>146</v>
      </c>
    </row>
    <row r="73" spans="2:9">
      <c r="C73">
        <v>4.5</v>
      </c>
      <c r="D73">
        <v>-40</v>
      </c>
      <c r="E73">
        <v>2.0019999999999998</v>
      </c>
      <c r="F73" t="s">
        <v>142</v>
      </c>
      <c r="G73" t="s">
        <v>146</v>
      </c>
      <c r="H73" t="s">
        <v>142</v>
      </c>
      <c r="I73" t="s">
        <v>146</v>
      </c>
    </row>
    <row r="74" spans="2:9">
      <c r="C74">
        <v>5.5</v>
      </c>
      <c r="D74">
        <v>-40</v>
      </c>
      <c r="E74">
        <v>2.0019999999999998</v>
      </c>
      <c r="F74" t="s">
        <v>142</v>
      </c>
      <c r="G74" t="s">
        <v>146</v>
      </c>
      <c r="H74" t="s">
        <v>142</v>
      </c>
      <c r="I74" t="s">
        <v>146</v>
      </c>
    </row>
    <row r="75" spans="2:9">
      <c r="C75">
        <v>4.5</v>
      </c>
      <c r="D75">
        <v>150</v>
      </c>
      <c r="E75">
        <v>2.0019999999999998</v>
      </c>
      <c r="F75" t="s">
        <v>142</v>
      </c>
      <c r="G75" t="s">
        <v>146</v>
      </c>
      <c r="H75" t="s">
        <v>142</v>
      </c>
      <c r="I75" t="s">
        <v>146</v>
      </c>
    </row>
    <row r="76" spans="2:9">
      <c r="C76">
        <v>5.5</v>
      </c>
      <c r="D76">
        <v>150</v>
      </c>
      <c r="E76">
        <v>2.0019999999999998</v>
      </c>
      <c r="F76" t="s">
        <v>142</v>
      </c>
      <c r="G76" t="s">
        <v>146</v>
      </c>
      <c r="H76" t="s">
        <v>142</v>
      </c>
      <c r="I76" t="s">
        <v>146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I128"/>
  <sheetViews>
    <sheetView zoomScale="55" zoomScaleNormal="55" workbookViewId="0">
      <selection activeCell="F25" sqref="F25"/>
    </sheetView>
  </sheetViews>
  <sheetFormatPr defaultRowHeight="13"/>
  <cols>
    <col min="3" max="3" width="11.90625" bestFit="1" customWidth="1"/>
  </cols>
  <sheetData>
    <row r="3" spans="2:9">
      <c r="B3">
        <v>0</v>
      </c>
      <c r="C3" t="s">
        <v>66</v>
      </c>
      <c r="D3">
        <v>4.5</v>
      </c>
      <c r="E3">
        <v>5.5</v>
      </c>
    </row>
    <row r="4" spans="2:9">
      <c r="B4">
        <v>1</v>
      </c>
      <c r="C4" t="s">
        <v>67</v>
      </c>
      <c r="D4">
        <v>-40</v>
      </c>
      <c r="E4">
        <v>150</v>
      </c>
    </row>
    <row r="5" spans="2:9">
      <c r="B5">
        <v>2</v>
      </c>
      <c r="C5" t="s">
        <v>201</v>
      </c>
      <c r="D5">
        <v>1.998</v>
      </c>
      <c r="E5">
        <v>2.0019999999999998</v>
      </c>
    </row>
    <row r="6" spans="2:9">
      <c r="B6">
        <v>3</v>
      </c>
      <c r="C6" t="s">
        <v>132</v>
      </c>
      <c r="D6" t="s">
        <v>202</v>
      </c>
      <c r="E6" t="s">
        <v>203</v>
      </c>
      <c r="F6" t="s">
        <v>204</v>
      </c>
      <c r="G6" t="s">
        <v>205</v>
      </c>
    </row>
    <row r="7" spans="2:9">
      <c r="B7">
        <v>4</v>
      </c>
      <c r="C7" t="s">
        <v>134</v>
      </c>
      <c r="D7" t="s">
        <v>206</v>
      </c>
      <c r="E7" t="s">
        <v>207</v>
      </c>
    </row>
    <row r="8" spans="2:9">
      <c r="B8">
        <v>5</v>
      </c>
      <c r="C8" t="s">
        <v>208</v>
      </c>
      <c r="D8" t="s">
        <v>202</v>
      </c>
      <c r="E8" t="s">
        <v>203</v>
      </c>
      <c r="F8" t="s">
        <v>204</v>
      </c>
      <c r="G8" t="s">
        <v>205</v>
      </c>
    </row>
    <row r="9" spans="2:9">
      <c r="B9">
        <v>6</v>
      </c>
      <c r="C9" t="s">
        <v>209</v>
      </c>
      <c r="D9" t="s">
        <v>206</v>
      </c>
      <c r="E9" t="s">
        <v>207</v>
      </c>
    </row>
    <row r="11" spans="2:9">
      <c r="B11" t="s">
        <v>210</v>
      </c>
      <c r="C11">
        <v>4.5</v>
      </c>
      <c r="D11">
        <v>-40</v>
      </c>
      <c r="E11">
        <v>1.998</v>
      </c>
      <c r="F11" t="s">
        <v>136</v>
      </c>
      <c r="G11" t="s">
        <v>144</v>
      </c>
      <c r="H11" t="s">
        <v>136</v>
      </c>
      <c r="I11" t="s">
        <v>144</v>
      </c>
    </row>
    <row r="12" spans="2:9">
      <c r="B12" t="s">
        <v>152</v>
      </c>
      <c r="C12" t="s">
        <v>66</v>
      </c>
      <c r="D12" t="s">
        <v>67</v>
      </c>
      <c r="E12" t="s">
        <v>183</v>
      </c>
      <c r="F12" t="s">
        <v>132</v>
      </c>
      <c r="G12" t="s">
        <v>134</v>
      </c>
      <c r="H12" t="s">
        <v>150</v>
      </c>
      <c r="I12" t="s">
        <v>148</v>
      </c>
    </row>
    <row r="13" spans="2:9">
      <c r="B13" t="s">
        <v>153</v>
      </c>
      <c r="C13">
        <v>4.5</v>
      </c>
      <c r="D13">
        <v>-40</v>
      </c>
      <c r="E13">
        <v>1.998</v>
      </c>
      <c r="F13" t="s">
        <v>136</v>
      </c>
      <c r="G13" t="s">
        <v>144</v>
      </c>
      <c r="H13" t="s">
        <v>136</v>
      </c>
      <c r="I13" t="s">
        <v>144</v>
      </c>
    </row>
    <row r="14" spans="2:9">
      <c r="C14">
        <v>5.5</v>
      </c>
      <c r="D14">
        <v>-40</v>
      </c>
      <c r="E14">
        <v>1.998</v>
      </c>
      <c r="F14" t="s">
        <v>136</v>
      </c>
      <c r="G14" t="s">
        <v>144</v>
      </c>
      <c r="H14" t="s">
        <v>136</v>
      </c>
      <c r="I14" t="s">
        <v>144</v>
      </c>
    </row>
    <row r="15" spans="2:9">
      <c r="C15">
        <v>4.5</v>
      </c>
      <c r="D15">
        <v>150</v>
      </c>
      <c r="E15">
        <v>1.998</v>
      </c>
      <c r="F15" t="s">
        <v>136</v>
      </c>
      <c r="G15" t="s">
        <v>144</v>
      </c>
      <c r="H15" t="s">
        <v>136</v>
      </c>
      <c r="I15" t="s">
        <v>144</v>
      </c>
    </row>
    <row r="16" spans="2:9">
      <c r="C16">
        <v>5.5</v>
      </c>
      <c r="D16">
        <v>150</v>
      </c>
      <c r="E16">
        <v>1.998</v>
      </c>
      <c r="F16" t="s">
        <v>136</v>
      </c>
      <c r="G16" t="s">
        <v>144</v>
      </c>
      <c r="H16" t="s">
        <v>136</v>
      </c>
      <c r="I16" t="s">
        <v>144</v>
      </c>
    </row>
    <row r="17" spans="2:9">
      <c r="C17">
        <v>4.5</v>
      </c>
      <c r="D17">
        <v>-40</v>
      </c>
      <c r="E17">
        <v>2.0019999999999998</v>
      </c>
      <c r="F17" t="s">
        <v>136</v>
      </c>
      <c r="G17" t="s">
        <v>144</v>
      </c>
      <c r="H17" t="s">
        <v>136</v>
      </c>
      <c r="I17" t="s">
        <v>144</v>
      </c>
    </row>
    <row r="18" spans="2:9">
      <c r="C18">
        <v>5.5</v>
      </c>
      <c r="D18">
        <v>-40</v>
      </c>
      <c r="E18">
        <v>2.0019999999999998</v>
      </c>
      <c r="F18" t="s">
        <v>136</v>
      </c>
      <c r="G18" t="s">
        <v>144</v>
      </c>
      <c r="H18" t="s">
        <v>136</v>
      </c>
      <c r="I18" t="s">
        <v>144</v>
      </c>
    </row>
    <row r="19" spans="2:9">
      <c r="C19">
        <v>4.5</v>
      </c>
      <c r="D19">
        <v>150</v>
      </c>
      <c r="E19">
        <v>2.0019999999999998</v>
      </c>
      <c r="F19" t="s">
        <v>136</v>
      </c>
      <c r="G19" t="s">
        <v>144</v>
      </c>
      <c r="H19" t="s">
        <v>136</v>
      </c>
      <c r="I19" t="s">
        <v>144</v>
      </c>
    </row>
    <row r="20" spans="2:9">
      <c r="C20">
        <v>5.5</v>
      </c>
      <c r="D20">
        <v>150</v>
      </c>
      <c r="E20">
        <v>2.0019999999999998</v>
      </c>
      <c r="F20" t="s">
        <v>136</v>
      </c>
      <c r="G20" t="s">
        <v>144</v>
      </c>
      <c r="H20" t="s">
        <v>136</v>
      </c>
      <c r="I20" t="s">
        <v>144</v>
      </c>
    </row>
    <row r="21" spans="2:9">
      <c r="B21" t="s">
        <v>154</v>
      </c>
      <c r="C21">
        <v>4.5</v>
      </c>
      <c r="D21">
        <v>-40</v>
      </c>
      <c r="E21">
        <v>1.998</v>
      </c>
      <c r="F21" t="s">
        <v>138</v>
      </c>
      <c r="G21" t="s">
        <v>144</v>
      </c>
      <c r="H21" t="s">
        <v>138</v>
      </c>
      <c r="I21" t="s">
        <v>144</v>
      </c>
    </row>
    <row r="22" spans="2:9">
      <c r="C22">
        <v>5.5</v>
      </c>
      <c r="D22">
        <v>-40</v>
      </c>
      <c r="E22">
        <v>1.998</v>
      </c>
      <c r="F22" t="s">
        <v>138</v>
      </c>
      <c r="G22" t="s">
        <v>144</v>
      </c>
      <c r="H22" t="s">
        <v>138</v>
      </c>
      <c r="I22" t="s">
        <v>144</v>
      </c>
    </row>
    <row r="23" spans="2:9">
      <c r="C23">
        <v>4.5</v>
      </c>
      <c r="D23">
        <v>150</v>
      </c>
      <c r="E23">
        <v>1.998</v>
      </c>
      <c r="F23" t="s">
        <v>138</v>
      </c>
      <c r="G23" t="s">
        <v>144</v>
      </c>
      <c r="H23" t="s">
        <v>138</v>
      </c>
      <c r="I23" t="s">
        <v>144</v>
      </c>
    </row>
    <row r="24" spans="2:9">
      <c r="C24">
        <v>5.5</v>
      </c>
      <c r="D24">
        <v>150</v>
      </c>
      <c r="E24">
        <v>1.998</v>
      </c>
      <c r="F24" t="s">
        <v>138</v>
      </c>
      <c r="G24" t="s">
        <v>144</v>
      </c>
      <c r="H24" t="s">
        <v>138</v>
      </c>
      <c r="I24" t="s">
        <v>144</v>
      </c>
    </row>
    <row r="25" spans="2:9">
      <c r="C25">
        <v>4.5</v>
      </c>
      <c r="D25">
        <v>-40</v>
      </c>
      <c r="E25">
        <v>2.0019999999999998</v>
      </c>
      <c r="F25" t="s">
        <v>138</v>
      </c>
      <c r="G25" t="s">
        <v>144</v>
      </c>
      <c r="H25" t="s">
        <v>138</v>
      </c>
      <c r="I25" t="s">
        <v>144</v>
      </c>
    </row>
    <row r="26" spans="2:9">
      <c r="C26">
        <v>5.5</v>
      </c>
      <c r="D26">
        <v>-40</v>
      </c>
      <c r="E26">
        <v>2.0019999999999998</v>
      </c>
      <c r="F26" t="s">
        <v>138</v>
      </c>
      <c r="G26" t="s">
        <v>144</v>
      </c>
      <c r="H26" t="s">
        <v>138</v>
      </c>
      <c r="I26" t="s">
        <v>144</v>
      </c>
    </row>
    <row r="27" spans="2:9">
      <c r="C27">
        <v>4.5</v>
      </c>
      <c r="D27">
        <v>150</v>
      </c>
      <c r="E27">
        <v>2.0019999999999998</v>
      </c>
      <c r="F27" t="s">
        <v>138</v>
      </c>
      <c r="G27" t="s">
        <v>144</v>
      </c>
      <c r="H27" t="s">
        <v>138</v>
      </c>
      <c r="I27" t="s">
        <v>144</v>
      </c>
    </row>
    <row r="28" spans="2:9">
      <c r="C28">
        <v>5.5</v>
      </c>
      <c r="D28">
        <v>150</v>
      </c>
      <c r="E28">
        <v>2.0019999999999998</v>
      </c>
      <c r="F28" t="s">
        <v>138</v>
      </c>
      <c r="G28" t="s">
        <v>144</v>
      </c>
      <c r="H28" t="s">
        <v>138</v>
      </c>
      <c r="I28" t="s">
        <v>144</v>
      </c>
    </row>
    <row r="29" spans="2:9">
      <c r="B29" t="s">
        <v>155</v>
      </c>
      <c r="C29">
        <v>4.5</v>
      </c>
      <c r="D29">
        <v>-40</v>
      </c>
      <c r="E29">
        <v>1.998</v>
      </c>
      <c r="F29" t="s">
        <v>140</v>
      </c>
      <c r="G29" t="s">
        <v>144</v>
      </c>
      <c r="H29" t="s">
        <v>140</v>
      </c>
      <c r="I29" t="s">
        <v>144</v>
      </c>
    </row>
    <row r="30" spans="2:9">
      <c r="C30">
        <v>5.5</v>
      </c>
      <c r="D30">
        <v>-40</v>
      </c>
      <c r="E30">
        <v>1.998</v>
      </c>
      <c r="F30" t="s">
        <v>140</v>
      </c>
      <c r="G30" t="s">
        <v>144</v>
      </c>
      <c r="H30" t="s">
        <v>140</v>
      </c>
      <c r="I30" t="s">
        <v>144</v>
      </c>
    </row>
    <row r="31" spans="2:9">
      <c r="C31">
        <v>4.5</v>
      </c>
      <c r="D31">
        <v>150</v>
      </c>
      <c r="E31">
        <v>1.998</v>
      </c>
      <c r="F31" t="s">
        <v>140</v>
      </c>
      <c r="G31" t="s">
        <v>144</v>
      </c>
      <c r="H31" t="s">
        <v>140</v>
      </c>
      <c r="I31" t="s">
        <v>144</v>
      </c>
    </row>
    <row r="32" spans="2:9">
      <c r="C32">
        <v>5.5</v>
      </c>
      <c r="D32">
        <v>150</v>
      </c>
      <c r="E32">
        <v>1.998</v>
      </c>
      <c r="F32" t="s">
        <v>140</v>
      </c>
      <c r="G32" t="s">
        <v>144</v>
      </c>
      <c r="H32" t="s">
        <v>140</v>
      </c>
      <c r="I32" t="s">
        <v>144</v>
      </c>
    </row>
    <row r="33" spans="2:9">
      <c r="C33">
        <v>4.5</v>
      </c>
      <c r="D33">
        <v>-40</v>
      </c>
      <c r="E33">
        <v>2.0019999999999998</v>
      </c>
      <c r="F33" t="s">
        <v>140</v>
      </c>
      <c r="G33" t="s">
        <v>144</v>
      </c>
      <c r="H33" t="s">
        <v>140</v>
      </c>
      <c r="I33" t="s">
        <v>144</v>
      </c>
    </row>
    <row r="34" spans="2:9">
      <c r="C34">
        <v>5.5</v>
      </c>
      <c r="D34">
        <v>-40</v>
      </c>
      <c r="E34">
        <v>2.0019999999999998</v>
      </c>
      <c r="F34" t="s">
        <v>140</v>
      </c>
      <c r="G34" t="s">
        <v>144</v>
      </c>
      <c r="H34" t="s">
        <v>140</v>
      </c>
      <c r="I34" t="s">
        <v>144</v>
      </c>
    </row>
    <row r="35" spans="2:9">
      <c r="C35">
        <v>4.5</v>
      </c>
      <c r="D35">
        <v>150</v>
      </c>
      <c r="E35">
        <v>2.0019999999999998</v>
      </c>
      <c r="F35" t="s">
        <v>140</v>
      </c>
      <c r="G35" t="s">
        <v>144</v>
      </c>
      <c r="H35" t="s">
        <v>140</v>
      </c>
      <c r="I35" t="s">
        <v>144</v>
      </c>
    </row>
    <row r="36" spans="2:9">
      <c r="C36">
        <v>5.5</v>
      </c>
      <c r="D36">
        <v>150</v>
      </c>
      <c r="E36">
        <v>2.0019999999999998</v>
      </c>
      <c r="F36" t="s">
        <v>140</v>
      </c>
      <c r="G36" t="s">
        <v>144</v>
      </c>
      <c r="H36" t="s">
        <v>140</v>
      </c>
      <c r="I36" t="s">
        <v>144</v>
      </c>
    </row>
    <row r="37" spans="2:9">
      <c r="B37" t="s">
        <v>156</v>
      </c>
      <c r="C37">
        <v>4.5</v>
      </c>
      <c r="D37">
        <v>-40</v>
      </c>
      <c r="E37">
        <v>1.998</v>
      </c>
      <c r="F37" t="s">
        <v>142</v>
      </c>
      <c r="G37" t="s">
        <v>144</v>
      </c>
      <c r="H37" t="s">
        <v>142</v>
      </c>
      <c r="I37" t="s">
        <v>144</v>
      </c>
    </row>
    <row r="38" spans="2:9">
      <c r="C38">
        <v>5.5</v>
      </c>
      <c r="D38">
        <v>-40</v>
      </c>
      <c r="E38">
        <v>1.998</v>
      </c>
      <c r="F38" t="s">
        <v>142</v>
      </c>
      <c r="G38" t="s">
        <v>144</v>
      </c>
      <c r="H38" t="s">
        <v>142</v>
      </c>
      <c r="I38" t="s">
        <v>144</v>
      </c>
    </row>
    <row r="39" spans="2:9">
      <c r="C39">
        <v>4.5</v>
      </c>
      <c r="D39">
        <v>150</v>
      </c>
      <c r="E39">
        <v>1.998</v>
      </c>
      <c r="F39" t="s">
        <v>142</v>
      </c>
      <c r="G39" t="s">
        <v>144</v>
      </c>
      <c r="H39" t="s">
        <v>142</v>
      </c>
      <c r="I39" t="s">
        <v>144</v>
      </c>
    </row>
    <row r="40" spans="2:9">
      <c r="C40">
        <v>5.5</v>
      </c>
      <c r="D40">
        <v>150</v>
      </c>
      <c r="E40">
        <v>1.998</v>
      </c>
      <c r="F40" t="s">
        <v>142</v>
      </c>
      <c r="G40" t="s">
        <v>144</v>
      </c>
      <c r="H40" t="s">
        <v>142</v>
      </c>
      <c r="I40" t="s">
        <v>144</v>
      </c>
    </row>
    <row r="41" spans="2:9">
      <c r="C41">
        <v>4.5</v>
      </c>
      <c r="D41">
        <v>-40</v>
      </c>
      <c r="E41">
        <v>2.0019999999999998</v>
      </c>
      <c r="F41" t="s">
        <v>142</v>
      </c>
      <c r="G41" t="s">
        <v>144</v>
      </c>
      <c r="H41" t="s">
        <v>142</v>
      </c>
      <c r="I41" t="s">
        <v>144</v>
      </c>
    </row>
    <row r="42" spans="2:9">
      <c r="C42">
        <v>5.5</v>
      </c>
      <c r="D42">
        <v>-40</v>
      </c>
      <c r="E42">
        <v>2.0019999999999998</v>
      </c>
      <c r="F42" t="s">
        <v>142</v>
      </c>
      <c r="G42" t="s">
        <v>144</v>
      </c>
      <c r="H42" t="s">
        <v>142</v>
      </c>
      <c r="I42" t="s">
        <v>144</v>
      </c>
    </row>
    <row r="43" spans="2:9">
      <c r="C43">
        <v>4.5</v>
      </c>
      <c r="D43">
        <v>150</v>
      </c>
      <c r="E43">
        <v>2.0019999999999998</v>
      </c>
      <c r="F43" t="s">
        <v>142</v>
      </c>
      <c r="G43" t="s">
        <v>144</v>
      </c>
      <c r="H43" t="s">
        <v>142</v>
      </c>
      <c r="I43" t="s">
        <v>144</v>
      </c>
    </row>
    <row r="44" spans="2:9">
      <c r="C44">
        <v>5.5</v>
      </c>
      <c r="D44">
        <v>150</v>
      </c>
      <c r="E44">
        <v>2.0019999999999998</v>
      </c>
      <c r="F44" t="s">
        <v>142</v>
      </c>
      <c r="G44" t="s">
        <v>144</v>
      </c>
      <c r="H44" t="s">
        <v>142</v>
      </c>
      <c r="I44" t="s">
        <v>144</v>
      </c>
    </row>
    <row r="45" spans="2:9">
      <c r="B45" t="s">
        <v>157</v>
      </c>
      <c r="C45">
        <v>4.5</v>
      </c>
      <c r="D45">
        <v>-40</v>
      </c>
      <c r="E45">
        <v>1.998</v>
      </c>
      <c r="F45" t="s">
        <v>136</v>
      </c>
      <c r="G45" t="s">
        <v>146</v>
      </c>
      <c r="H45" t="s">
        <v>136</v>
      </c>
      <c r="I45" t="s">
        <v>146</v>
      </c>
    </row>
    <row r="46" spans="2:9">
      <c r="C46">
        <v>5.5</v>
      </c>
      <c r="D46">
        <v>-40</v>
      </c>
      <c r="E46">
        <v>1.998</v>
      </c>
      <c r="F46" t="s">
        <v>136</v>
      </c>
      <c r="G46" t="s">
        <v>146</v>
      </c>
      <c r="H46" t="s">
        <v>136</v>
      </c>
      <c r="I46" t="s">
        <v>146</v>
      </c>
    </row>
    <row r="47" spans="2:9">
      <c r="C47">
        <v>4.5</v>
      </c>
      <c r="D47">
        <v>150</v>
      </c>
      <c r="E47">
        <v>1.998</v>
      </c>
      <c r="F47" t="s">
        <v>136</v>
      </c>
      <c r="G47" t="s">
        <v>146</v>
      </c>
      <c r="H47" t="s">
        <v>136</v>
      </c>
      <c r="I47" t="s">
        <v>146</v>
      </c>
    </row>
    <row r="48" spans="2:9">
      <c r="C48">
        <v>5.5</v>
      </c>
      <c r="D48">
        <v>150</v>
      </c>
      <c r="E48">
        <v>1.998</v>
      </c>
      <c r="F48" t="s">
        <v>136</v>
      </c>
      <c r="G48" t="s">
        <v>146</v>
      </c>
      <c r="H48" t="s">
        <v>136</v>
      </c>
      <c r="I48" t="s">
        <v>146</v>
      </c>
    </row>
    <row r="49" spans="2:9">
      <c r="C49">
        <v>4.5</v>
      </c>
      <c r="D49">
        <v>-40</v>
      </c>
      <c r="E49">
        <v>2.0019999999999998</v>
      </c>
      <c r="F49" t="s">
        <v>136</v>
      </c>
      <c r="G49" t="s">
        <v>146</v>
      </c>
      <c r="H49" t="s">
        <v>136</v>
      </c>
      <c r="I49" t="s">
        <v>146</v>
      </c>
    </row>
    <row r="50" spans="2:9">
      <c r="C50">
        <v>5.5</v>
      </c>
      <c r="D50">
        <v>-40</v>
      </c>
      <c r="E50">
        <v>2.0019999999999998</v>
      </c>
      <c r="F50" t="s">
        <v>136</v>
      </c>
      <c r="G50" t="s">
        <v>146</v>
      </c>
      <c r="H50" t="s">
        <v>136</v>
      </c>
      <c r="I50" t="s">
        <v>146</v>
      </c>
    </row>
    <row r="51" spans="2:9">
      <c r="C51">
        <v>4.5</v>
      </c>
      <c r="D51">
        <v>150</v>
      </c>
      <c r="E51">
        <v>2.0019999999999998</v>
      </c>
      <c r="F51" t="s">
        <v>136</v>
      </c>
      <c r="G51" t="s">
        <v>146</v>
      </c>
      <c r="H51" t="s">
        <v>136</v>
      </c>
      <c r="I51" t="s">
        <v>146</v>
      </c>
    </row>
    <row r="52" spans="2:9">
      <c r="C52">
        <v>5.5</v>
      </c>
      <c r="D52">
        <v>150</v>
      </c>
      <c r="E52">
        <v>2.0019999999999998</v>
      </c>
      <c r="F52" t="s">
        <v>136</v>
      </c>
      <c r="G52" t="s">
        <v>146</v>
      </c>
      <c r="H52" t="s">
        <v>136</v>
      </c>
      <c r="I52" t="s">
        <v>146</v>
      </c>
    </row>
    <row r="53" spans="2:9">
      <c r="B53" t="s">
        <v>158</v>
      </c>
      <c r="C53">
        <v>4.5</v>
      </c>
      <c r="D53">
        <v>-40</v>
      </c>
      <c r="E53">
        <v>1.998</v>
      </c>
      <c r="F53" t="s">
        <v>138</v>
      </c>
      <c r="G53" t="s">
        <v>146</v>
      </c>
      <c r="H53" t="s">
        <v>138</v>
      </c>
      <c r="I53" t="s">
        <v>146</v>
      </c>
    </row>
    <row r="54" spans="2:9">
      <c r="C54">
        <v>5.5</v>
      </c>
      <c r="D54">
        <v>-40</v>
      </c>
      <c r="E54">
        <v>1.998</v>
      </c>
      <c r="F54" t="s">
        <v>138</v>
      </c>
      <c r="G54" t="s">
        <v>146</v>
      </c>
      <c r="H54" t="s">
        <v>138</v>
      </c>
      <c r="I54" t="s">
        <v>146</v>
      </c>
    </row>
    <row r="55" spans="2:9">
      <c r="C55">
        <v>4.5</v>
      </c>
      <c r="D55">
        <v>150</v>
      </c>
      <c r="E55">
        <v>1.998</v>
      </c>
      <c r="F55" t="s">
        <v>138</v>
      </c>
      <c r="G55" t="s">
        <v>146</v>
      </c>
      <c r="H55" t="s">
        <v>138</v>
      </c>
      <c r="I55" t="s">
        <v>146</v>
      </c>
    </row>
    <row r="56" spans="2:9">
      <c r="C56">
        <v>5.5</v>
      </c>
      <c r="D56">
        <v>150</v>
      </c>
      <c r="E56">
        <v>1.998</v>
      </c>
      <c r="F56" t="s">
        <v>138</v>
      </c>
      <c r="G56" t="s">
        <v>146</v>
      </c>
      <c r="H56" t="s">
        <v>138</v>
      </c>
      <c r="I56" t="s">
        <v>146</v>
      </c>
    </row>
    <row r="57" spans="2:9">
      <c r="C57">
        <v>4.5</v>
      </c>
      <c r="D57">
        <v>-40</v>
      </c>
      <c r="E57">
        <v>2.0019999999999998</v>
      </c>
      <c r="F57" t="s">
        <v>138</v>
      </c>
      <c r="G57" t="s">
        <v>146</v>
      </c>
      <c r="H57" t="s">
        <v>138</v>
      </c>
      <c r="I57" t="s">
        <v>146</v>
      </c>
    </row>
    <row r="58" spans="2:9">
      <c r="C58">
        <v>5.5</v>
      </c>
      <c r="D58">
        <v>-40</v>
      </c>
      <c r="E58">
        <v>2.0019999999999998</v>
      </c>
      <c r="F58" t="s">
        <v>138</v>
      </c>
      <c r="G58" t="s">
        <v>146</v>
      </c>
      <c r="H58" t="s">
        <v>138</v>
      </c>
      <c r="I58" t="s">
        <v>146</v>
      </c>
    </row>
    <row r="59" spans="2:9">
      <c r="C59">
        <v>4.5</v>
      </c>
      <c r="D59">
        <v>150</v>
      </c>
      <c r="E59">
        <v>2.0019999999999998</v>
      </c>
      <c r="F59" t="s">
        <v>138</v>
      </c>
      <c r="G59" t="s">
        <v>146</v>
      </c>
      <c r="H59" t="s">
        <v>138</v>
      </c>
      <c r="I59" t="s">
        <v>146</v>
      </c>
    </row>
    <row r="60" spans="2:9">
      <c r="C60">
        <v>5.5</v>
      </c>
      <c r="D60">
        <v>150</v>
      </c>
      <c r="E60">
        <v>2.0019999999999998</v>
      </c>
      <c r="F60" t="s">
        <v>138</v>
      </c>
      <c r="G60" t="s">
        <v>146</v>
      </c>
      <c r="H60" t="s">
        <v>138</v>
      </c>
      <c r="I60" t="s">
        <v>146</v>
      </c>
    </row>
    <row r="61" spans="2:9">
      <c r="B61" t="s">
        <v>159</v>
      </c>
      <c r="C61">
        <v>4.5</v>
      </c>
      <c r="D61">
        <v>-40</v>
      </c>
      <c r="E61">
        <v>1.998</v>
      </c>
      <c r="F61" t="s">
        <v>140</v>
      </c>
      <c r="G61" t="s">
        <v>146</v>
      </c>
      <c r="H61" t="s">
        <v>140</v>
      </c>
      <c r="I61" t="s">
        <v>146</v>
      </c>
    </row>
    <row r="62" spans="2:9">
      <c r="C62">
        <v>5.5</v>
      </c>
      <c r="D62">
        <v>-40</v>
      </c>
      <c r="E62">
        <v>1.998</v>
      </c>
      <c r="F62" t="s">
        <v>140</v>
      </c>
      <c r="G62" t="s">
        <v>146</v>
      </c>
      <c r="H62" t="s">
        <v>140</v>
      </c>
      <c r="I62" t="s">
        <v>146</v>
      </c>
    </row>
    <row r="63" spans="2:9">
      <c r="C63">
        <v>4.5</v>
      </c>
      <c r="D63">
        <v>150</v>
      </c>
      <c r="E63">
        <v>1.998</v>
      </c>
      <c r="F63" t="s">
        <v>140</v>
      </c>
      <c r="G63" t="s">
        <v>146</v>
      </c>
      <c r="H63" t="s">
        <v>140</v>
      </c>
      <c r="I63" t="s">
        <v>146</v>
      </c>
    </row>
    <row r="64" spans="2:9">
      <c r="C64">
        <v>5.5</v>
      </c>
      <c r="D64">
        <v>150</v>
      </c>
      <c r="E64">
        <v>1.998</v>
      </c>
      <c r="F64" t="s">
        <v>140</v>
      </c>
      <c r="G64" t="s">
        <v>146</v>
      </c>
      <c r="H64" t="s">
        <v>140</v>
      </c>
      <c r="I64" t="s">
        <v>146</v>
      </c>
    </row>
    <row r="65" spans="2:9">
      <c r="C65">
        <v>4.5</v>
      </c>
      <c r="D65">
        <v>-40</v>
      </c>
      <c r="E65">
        <v>2.0019999999999998</v>
      </c>
      <c r="F65" t="s">
        <v>140</v>
      </c>
      <c r="G65" t="s">
        <v>146</v>
      </c>
      <c r="H65" t="s">
        <v>140</v>
      </c>
      <c r="I65" t="s">
        <v>146</v>
      </c>
    </row>
    <row r="66" spans="2:9">
      <c r="C66">
        <v>5.5</v>
      </c>
      <c r="D66">
        <v>-40</v>
      </c>
      <c r="E66">
        <v>2.0019999999999998</v>
      </c>
      <c r="F66" t="s">
        <v>140</v>
      </c>
      <c r="G66" t="s">
        <v>146</v>
      </c>
      <c r="H66" t="s">
        <v>140</v>
      </c>
      <c r="I66" t="s">
        <v>146</v>
      </c>
    </row>
    <row r="67" spans="2:9">
      <c r="C67">
        <v>4.5</v>
      </c>
      <c r="D67">
        <v>150</v>
      </c>
      <c r="E67">
        <v>2.0019999999999998</v>
      </c>
      <c r="F67" t="s">
        <v>140</v>
      </c>
      <c r="G67" t="s">
        <v>146</v>
      </c>
      <c r="H67" t="s">
        <v>140</v>
      </c>
      <c r="I67" t="s">
        <v>146</v>
      </c>
    </row>
    <row r="68" spans="2:9">
      <c r="C68">
        <v>5.5</v>
      </c>
      <c r="D68">
        <v>150</v>
      </c>
      <c r="E68">
        <v>2.0019999999999998</v>
      </c>
      <c r="F68" t="s">
        <v>140</v>
      </c>
      <c r="G68" t="s">
        <v>146</v>
      </c>
      <c r="H68" t="s">
        <v>140</v>
      </c>
      <c r="I68" t="s">
        <v>146</v>
      </c>
    </row>
    <row r="69" spans="2:9">
      <c r="B69" t="s">
        <v>160</v>
      </c>
      <c r="C69">
        <v>4.5</v>
      </c>
      <c r="D69">
        <v>-40</v>
      </c>
      <c r="E69">
        <v>1.998</v>
      </c>
      <c r="F69" t="s">
        <v>142</v>
      </c>
      <c r="G69" t="s">
        <v>146</v>
      </c>
      <c r="H69" t="s">
        <v>142</v>
      </c>
      <c r="I69" t="s">
        <v>146</v>
      </c>
    </row>
    <row r="70" spans="2:9">
      <c r="C70">
        <v>5.5</v>
      </c>
      <c r="D70">
        <v>-40</v>
      </c>
      <c r="E70">
        <v>1.998</v>
      </c>
      <c r="F70" t="s">
        <v>142</v>
      </c>
      <c r="G70" t="s">
        <v>146</v>
      </c>
      <c r="H70" t="s">
        <v>142</v>
      </c>
      <c r="I70" t="s">
        <v>146</v>
      </c>
    </row>
    <row r="71" spans="2:9">
      <c r="C71">
        <v>4.5</v>
      </c>
      <c r="D71">
        <v>150</v>
      </c>
      <c r="E71">
        <v>1.998</v>
      </c>
      <c r="F71" t="s">
        <v>142</v>
      </c>
      <c r="G71" t="s">
        <v>146</v>
      </c>
      <c r="H71" t="s">
        <v>142</v>
      </c>
      <c r="I71" t="s">
        <v>146</v>
      </c>
    </row>
    <row r="72" spans="2:9">
      <c r="C72">
        <v>5.5</v>
      </c>
      <c r="D72">
        <v>150</v>
      </c>
      <c r="E72">
        <v>1.998</v>
      </c>
      <c r="F72" t="s">
        <v>142</v>
      </c>
      <c r="G72" t="s">
        <v>146</v>
      </c>
      <c r="H72" t="s">
        <v>142</v>
      </c>
      <c r="I72" t="s">
        <v>146</v>
      </c>
    </row>
    <row r="73" spans="2:9">
      <c r="C73">
        <v>4.5</v>
      </c>
      <c r="D73">
        <v>-40</v>
      </c>
      <c r="E73">
        <v>2.0019999999999998</v>
      </c>
      <c r="F73" t="s">
        <v>142</v>
      </c>
      <c r="G73" t="s">
        <v>146</v>
      </c>
      <c r="H73" t="s">
        <v>142</v>
      </c>
      <c r="I73" t="s">
        <v>146</v>
      </c>
    </row>
    <row r="74" spans="2:9">
      <c r="C74">
        <v>5.5</v>
      </c>
      <c r="D74">
        <v>-40</v>
      </c>
      <c r="E74">
        <v>2.0019999999999998</v>
      </c>
      <c r="F74" t="s">
        <v>142</v>
      </c>
      <c r="G74" t="s">
        <v>146</v>
      </c>
      <c r="H74" t="s">
        <v>142</v>
      </c>
      <c r="I74" t="s">
        <v>146</v>
      </c>
    </row>
    <row r="75" spans="2:9">
      <c r="C75">
        <v>4.5</v>
      </c>
      <c r="D75">
        <v>150</v>
      </c>
      <c r="E75">
        <v>2.0019999999999998</v>
      </c>
      <c r="F75" t="s">
        <v>142</v>
      </c>
      <c r="G75" t="s">
        <v>146</v>
      </c>
      <c r="H75" t="s">
        <v>142</v>
      </c>
      <c r="I75" t="s">
        <v>146</v>
      </c>
    </row>
    <row r="76" spans="2:9">
      <c r="C76">
        <v>5.5</v>
      </c>
      <c r="D76">
        <v>150</v>
      </c>
      <c r="E76">
        <v>2.0019999999999998</v>
      </c>
      <c r="F76" t="s">
        <v>142</v>
      </c>
      <c r="G76" t="s">
        <v>146</v>
      </c>
      <c r="H76" t="s">
        <v>142</v>
      </c>
      <c r="I76" t="s">
        <v>146</v>
      </c>
    </row>
    <row r="78" spans="2:9">
      <c r="B78" t="s">
        <v>163</v>
      </c>
    </row>
    <row r="79" spans="2:9">
      <c r="B79" t="s">
        <v>180</v>
      </c>
    </row>
    <row r="80" spans="2:9">
      <c r="B80" t="s">
        <v>184</v>
      </c>
    </row>
    <row r="82" spans="2:2">
      <c r="B82" t="s">
        <v>164</v>
      </c>
    </row>
    <row r="83" spans="2:2">
      <c r="B83" t="s">
        <v>165</v>
      </c>
    </row>
    <row r="84" spans="2:2">
      <c r="B84" t="s">
        <v>166</v>
      </c>
    </row>
    <row r="85" spans="2:2">
      <c r="B85" t="s">
        <v>180</v>
      </c>
    </row>
    <row r="86" spans="2:2">
      <c r="B86" t="s">
        <v>184</v>
      </c>
    </row>
    <row r="88" spans="2:2">
      <c r="B88" t="s">
        <v>167</v>
      </c>
    </row>
    <row r="89" spans="2:2">
      <c r="B89" t="s">
        <v>168</v>
      </c>
    </row>
    <row r="90" spans="2:2">
      <c r="B90" t="s">
        <v>169</v>
      </c>
    </row>
    <row r="91" spans="2:2">
      <c r="B91" t="s">
        <v>180</v>
      </c>
    </row>
    <row r="92" spans="2:2">
      <c r="B92" t="s">
        <v>184</v>
      </c>
    </row>
    <row r="94" spans="2:2">
      <c r="B94" t="s">
        <v>170</v>
      </c>
    </row>
    <row r="95" spans="2:2">
      <c r="B95" t="s">
        <v>171</v>
      </c>
    </row>
    <row r="96" spans="2:2">
      <c r="B96" t="s">
        <v>172</v>
      </c>
    </row>
    <row r="97" spans="2:2">
      <c r="B97" t="s">
        <v>180</v>
      </c>
    </row>
    <row r="98" spans="2:2">
      <c r="B98" t="s">
        <v>184</v>
      </c>
    </row>
    <row r="100" spans="2:2">
      <c r="B100" t="s">
        <v>173</v>
      </c>
    </row>
    <row r="101" spans="2:2">
      <c r="B101" t="s">
        <v>174</v>
      </c>
    </row>
    <row r="102" spans="2:2">
      <c r="B102" t="s">
        <v>175</v>
      </c>
    </row>
    <row r="103" spans="2:2">
      <c r="B103" t="s">
        <v>180</v>
      </c>
    </row>
    <row r="104" spans="2:2">
      <c r="B104" t="s">
        <v>184</v>
      </c>
    </row>
    <row r="106" spans="2:2">
      <c r="B106" t="s">
        <v>176</v>
      </c>
    </row>
    <row r="107" spans="2:2">
      <c r="B107" t="s">
        <v>165</v>
      </c>
    </row>
    <row r="108" spans="2:2">
      <c r="B108" t="s">
        <v>174</v>
      </c>
    </row>
    <row r="109" spans="2:2">
      <c r="B109" t="s">
        <v>166</v>
      </c>
    </row>
    <row r="110" spans="2:2">
      <c r="B110" t="s">
        <v>175</v>
      </c>
    </row>
    <row r="111" spans="2:2">
      <c r="B111" t="s">
        <v>180</v>
      </c>
    </row>
    <row r="112" spans="2:2">
      <c r="B112" t="s">
        <v>184</v>
      </c>
    </row>
    <row r="114" spans="2:2">
      <c r="B114" t="s">
        <v>177</v>
      </c>
    </row>
    <row r="115" spans="2:2">
      <c r="B115" t="s">
        <v>168</v>
      </c>
    </row>
    <row r="116" spans="2:2">
      <c r="B116" t="s">
        <v>174</v>
      </c>
    </row>
    <row r="117" spans="2:2">
      <c r="B117" t="s">
        <v>169</v>
      </c>
    </row>
    <row r="118" spans="2:2">
      <c r="B118" t="s">
        <v>175</v>
      </c>
    </row>
    <row r="119" spans="2:2">
      <c r="B119" t="s">
        <v>180</v>
      </c>
    </row>
    <row r="120" spans="2:2">
      <c r="B120" t="s">
        <v>184</v>
      </c>
    </row>
    <row r="122" spans="2:2">
      <c r="B122" t="s">
        <v>178</v>
      </c>
    </row>
    <row r="123" spans="2:2">
      <c r="B123" t="s">
        <v>171</v>
      </c>
    </row>
    <row r="124" spans="2:2">
      <c r="B124" t="s">
        <v>174</v>
      </c>
    </row>
    <row r="125" spans="2:2">
      <c r="B125" t="s">
        <v>172</v>
      </c>
    </row>
    <row r="126" spans="2:2">
      <c r="B126" t="s">
        <v>175</v>
      </c>
    </row>
    <row r="127" spans="2:2">
      <c r="B127" t="s">
        <v>180</v>
      </c>
    </row>
    <row r="128" spans="2:2">
      <c r="B128" t="s">
        <v>184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5:Q110"/>
  <sheetViews>
    <sheetView zoomScale="70" zoomScaleNormal="70" workbookViewId="0">
      <selection activeCell="F109" sqref="F109"/>
    </sheetView>
  </sheetViews>
  <sheetFormatPr defaultRowHeight="13"/>
  <cols>
    <col min="5" max="5" width="15.54296875" bestFit="1" customWidth="1"/>
    <col min="13" max="13" width="15.54296875" bestFit="1" customWidth="1"/>
  </cols>
  <sheetData>
    <row r="5" spans="3:10">
      <c r="C5" t="s">
        <v>214</v>
      </c>
    </row>
    <row r="6" spans="3:10">
      <c r="C6" t="s">
        <v>221</v>
      </c>
    </row>
    <row r="7" spans="3:10">
      <c r="C7" t="s">
        <v>222</v>
      </c>
    </row>
    <row r="8" spans="3:10">
      <c r="C8" t="s">
        <v>211</v>
      </c>
    </row>
    <row r="9" spans="3:10">
      <c r="C9" t="s">
        <v>212</v>
      </c>
    </row>
    <row r="10" spans="3:10">
      <c r="C10" t="s">
        <v>223</v>
      </c>
    </row>
    <row r="11" spans="3:10">
      <c r="C11" t="s">
        <v>224</v>
      </c>
    </row>
    <row r="12" spans="3:10">
      <c r="C12" t="s">
        <v>213</v>
      </c>
    </row>
    <row r="14" spans="3:10">
      <c r="C14" t="s">
        <v>219</v>
      </c>
      <c r="D14" t="s">
        <v>66</v>
      </c>
      <c r="E14" t="s">
        <v>220</v>
      </c>
      <c r="F14" t="s">
        <v>183</v>
      </c>
      <c r="G14" t="s">
        <v>215</v>
      </c>
      <c r="H14" t="s">
        <v>216</v>
      </c>
      <c r="I14" t="s">
        <v>217</v>
      </c>
      <c r="J14" t="s">
        <v>218</v>
      </c>
    </row>
    <row r="15" spans="3:10">
      <c r="C15">
        <v>25</v>
      </c>
      <c r="D15">
        <v>5</v>
      </c>
      <c r="E15">
        <v>5</v>
      </c>
      <c r="F15">
        <v>1.2</v>
      </c>
      <c r="G15" t="s">
        <v>138</v>
      </c>
      <c r="H15" t="s">
        <v>146</v>
      </c>
      <c r="I15" t="s">
        <v>138</v>
      </c>
      <c r="J15" t="s">
        <v>146</v>
      </c>
    </row>
    <row r="24" spans="3:11">
      <c r="C24" t="s">
        <v>225</v>
      </c>
    </row>
    <row r="29" spans="3:11">
      <c r="C29" t="s">
        <v>214</v>
      </c>
      <c r="J29" t="s">
        <v>66</v>
      </c>
      <c r="K29">
        <v>5</v>
      </c>
    </row>
    <row r="30" spans="3:11">
      <c r="C30" t="s">
        <v>221</v>
      </c>
      <c r="J30" t="s">
        <v>220</v>
      </c>
      <c r="K30">
        <v>5</v>
      </c>
    </row>
    <row r="31" spans="3:11">
      <c r="C31" t="s">
        <v>222</v>
      </c>
      <c r="J31" t="s">
        <v>183</v>
      </c>
      <c r="K31">
        <v>1.2</v>
      </c>
    </row>
    <row r="32" spans="3:11">
      <c r="C32" t="s">
        <v>211</v>
      </c>
      <c r="J32" t="s">
        <v>215</v>
      </c>
      <c r="K32" t="s">
        <v>138</v>
      </c>
    </row>
    <row r="33" spans="3:17">
      <c r="C33" t="s">
        <v>212</v>
      </c>
      <c r="J33" t="s">
        <v>216</v>
      </c>
      <c r="K33" t="s">
        <v>146</v>
      </c>
    </row>
    <row r="34" spans="3:17">
      <c r="C34" t="s">
        <v>223</v>
      </c>
      <c r="J34" t="s">
        <v>217</v>
      </c>
      <c r="K34" t="s">
        <v>138</v>
      </c>
    </row>
    <row r="35" spans="3:17">
      <c r="C35" t="s">
        <v>224</v>
      </c>
      <c r="J35" t="s">
        <v>218</v>
      </c>
      <c r="K35" t="s">
        <v>146</v>
      </c>
    </row>
    <row r="36" spans="3:17">
      <c r="C36" t="s">
        <v>213</v>
      </c>
      <c r="J36" t="s">
        <v>219</v>
      </c>
      <c r="K36">
        <v>25</v>
      </c>
    </row>
    <row r="42" spans="3:17">
      <c r="D42">
        <v>0</v>
      </c>
      <c r="E42" t="s">
        <v>545</v>
      </c>
      <c r="F42">
        <v>25</v>
      </c>
      <c r="G42">
        <v>-40</v>
      </c>
      <c r="H42">
        <v>150</v>
      </c>
      <c r="L42">
        <v>0</v>
      </c>
      <c r="M42" t="s">
        <v>545</v>
      </c>
      <c r="N42">
        <v>-40</v>
      </c>
      <c r="O42">
        <v>150</v>
      </c>
    </row>
    <row r="43" spans="3:17">
      <c r="C43" t="s">
        <v>214</v>
      </c>
      <c r="D43">
        <v>1</v>
      </c>
      <c r="E43" t="s">
        <v>66</v>
      </c>
      <c r="F43">
        <v>5</v>
      </c>
      <c r="G43">
        <v>4.5</v>
      </c>
      <c r="H43">
        <v>5.5</v>
      </c>
      <c r="L43">
        <v>1</v>
      </c>
      <c r="M43" t="s">
        <v>66</v>
      </c>
      <c r="N43">
        <v>4.5</v>
      </c>
      <c r="O43">
        <v>5.5</v>
      </c>
    </row>
    <row r="44" spans="3:17">
      <c r="C44" t="s">
        <v>221</v>
      </c>
      <c r="D44">
        <v>2</v>
      </c>
      <c r="E44" t="s">
        <v>220</v>
      </c>
      <c r="F44">
        <v>5</v>
      </c>
      <c r="G44">
        <v>4.5</v>
      </c>
      <c r="H44">
        <v>5.5</v>
      </c>
      <c r="L44">
        <v>2</v>
      </c>
      <c r="M44" t="s">
        <v>220</v>
      </c>
      <c r="N44">
        <v>4.5</v>
      </c>
      <c r="O44">
        <v>5.5</v>
      </c>
    </row>
    <row r="45" spans="3:17">
      <c r="C45" t="s">
        <v>222</v>
      </c>
      <c r="D45">
        <v>3</v>
      </c>
      <c r="E45" t="s">
        <v>183</v>
      </c>
      <c r="F45">
        <v>1.2</v>
      </c>
      <c r="G45">
        <v>1.08</v>
      </c>
      <c r="H45">
        <v>1.32</v>
      </c>
      <c r="L45">
        <v>3</v>
      </c>
      <c r="M45" t="s">
        <v>183</v>
      </c>
      <c r="N45">
        <v>1.08</v>
      </c>
      <c r="O45">
        <v>1.32</v>
      </c>
    </row>
    <row r="46" spans="3:17">
      <c r="C46" t="s">
        <v>534</v>
      </c>
      <c r="D46">
        <v>4</v>
      </c>
      <c r="E46" t="s">
        <v>215</v>
      </c>
      <c r="F46" t="s">
        <v>540</v>
      </c>
      <c r="L46">
        <v>4</v>
      </c>
      <c r="M46" t="s">
        <v>215</v>
      </c>
      <c r="N46" t="s">
        <v>136</v>
      </c>
      <c r="O46" t="s">
        <v>138</v>
      </c>
      <c r="P46" t="s">
        <v>140</v>
      </c>
      <c r="Q46" t="s">
        <v>142</v>
      </c>
    </row>
    <row r="47" spans="3:17">
      <c r="C47" t="s">
        <v>535</v>
      </c>
      <c r="D47">
        <v>5</v>
      </c>
      <c r="E47" t="s">
        <v>216</v>
      </c>
      <c r="F47" t="s">
        <v>62</v>
      </c>
      <c r="L47">
        <v>5</v>
      </c>
      <c r="M47" t="s">
        <v>216</v>
      </c>
      <c r="N47" t="s">
        <v>144</v>
      </c>
      <c r="O47" t="s">
        <v>146</v>
      </c>
    </row>
    <row r="48" spans="3:17">
      <c r="C48" t="s">
        <v>536</v>
      </c>
      <c r="D48">
        <v>6</v>
      </c>
      <c r="E48" t="s">
        <v>217</v>
      </c>
      <c r="F48" t="s">
        <v>540</v>
      </c>
      <c r="L48">
        <v>6</v>
      </c>
      <c r="M48" t="s">
        <v>217</v>
      </c>
      <c r="N48" t="s">
        <v>136</v>
      </c>
      <c r="O48" t="s">
        <v>138</v>
      </c>
      <c r="P48" t="s">
        <v>140</v>
      </c>
      <c r="Q48" t="s">
        <v>142</v>
      </c>
    </row>
    <row r="49" spans="3:17">
      <c r="C49" t="s">
        <v>537</v>
      </c>
      <c r="D49">
        <v>7</v>
      </c>
      <c r="E49" t="s">
        <v>218</v>
      </c>
      <c r="F49" t="s">
        <v>540</v>
      </c>
      <c r="L49">
        <v>7</v>
      </c>
      <c r="M49" t="s">
        <v>218</v>
      </c>
      <c r="N49" t="s">
        <v>136</v>
      </c>
      <c r="O49" t="s">
        <v>138</v>
      </c>
      <c r="P49" t="s">
        <v>140</v>
      </c>
      <c r="Q49" t="s">
        <v>142</v>
      </c>
    </row>
    <row r="50" spans="3:17">
      <c r="C50" t="s">
        <v>538</v>
      </c>
      <c r="D50">
        <v>8</v>
      </c>
      <c r="E50" t="s">
        <v>541</v>
      </c>
      <c r="F50" t="s">
        <v>62</v>
      </c>
      <c r="L50">
        <v>8</v>
      </c>
      <c r="M50" t="s">
        <v>541</v>
      </c>
      <c r="N50" t="s">
        <v>542</v>
      </c>
      <c r="O50" t="s">
        <v>543</v>
      </c>
    </row>
    <row r="51" spans="3:17">
      <c r="C51" t="s">
        <v>539</v>
      </c>
      <c r="D51">
        <v>9</v>
      </c>
      <c r="E51" t="s">
        <v>544</v>
      </c>
      <c r="F51" t="s">
        <v>62</v>
      </c>
      <c r="L51">
        <v>9</v>
      </c>
      <c r="M51" t="s">
        <v>544</v>
      </c>
      <c r="N51" t="s">
        <v>542</v>
      </c>
      <c r="O51" t="s">
        <v>543</v>
      </c>
    </row>
    <row r="52" spans="3:17">
      <c r="C52" t="s">
        <v>213</v>
      </c>
    </row>
    <row r="57" spans="3:17">
      <c r="D57">
        <v>0</v>
      </c>
      <c r="E57" t="s">
        <v>545</v>
      </c>
      <c r="F57">
        <v>25</v>
      </c>
      <c r="G57">
        <v>-40</v>
      </c>
      <c r="H57">
        <v>150</v>
      </c>
      <c r="L57">
        <v>0</v>
      </c>
      <c r="M57" t="s">
        <v>545</v>
      </c>
      <c r="N57">
        <v>-40</v>
      </c>
      <c r="O57">
        <v>150</v>
      </c>
    </row>
    <row r="58" spans="3:17">
      <c r="C58" t="s">
        <v>214</v>
      </c>
      <c r="D58">
        <v>1</v>
      </c>
      <c r="E58" t="s">
        <v>66</v>
      </c>
      <c r="F58">
        <v>5</v>
      </c>
      <c r="G58">
        <v>4.5</v>
      </c>
      <c r="H58">
        <v>5.5</v>
      </c>
      <c r="L58">
        <v>1</v>
      </c>
      <c r="M58" t="s">
        <v>66</v>
      </c>
      <c r="N58">
        <v>4.5</v>
      </c>
      <c r="O58">
        <v>5.5</v>
      </c>
    </row>
    <row r="59" spans="3:17">
      <c r="C59" t="s">
        <v>221</v>
      </c>
      <c r="D59">
        <v>2</v>
      </c>
      <c r="E59" t="s">
        <v>220</v>
      </c>
      <c r="F59">
        <v>5</v>
      </c>
      <c r="G59">
        <v>4.5</v>
      </c>
      <c r="H59">
        <v>5.5</v>
      </c>
      <c r="L59">
        <v>2</v>
      </c>
      <c r="M59" t="s">
        <v>220</v>
      </c>
      <c r="N59">
        <v>4.5</v>
      </c>
      <c r="O59">
        <v>5.5</v>
      </c>
    </row>
    <row r="60" spans="3:17">
      <c r="C60" t="s">
        <v>222</v>
      </c>
      <c r="D60">
        <v>3</v>
      </c>
      <c r="E60" t="s">
        <v>183</v>
      </c>
      <c r="F60">
        <v>1.2</v>
      </c>
      <c r="G60">
        <v>1.08</v>
      </c>
      <c r="H60">
        <v>1.32</v>
      </c>
      <c r="L60">
        <v>3</v>
      </c>
      <c r="M60" t="s">
        <v>183</v>
      </c>
      <c r="N60">
        <v>1.08</v>
      </c>
      <c r="O60">
        <v>1.32</v>
      </c>
    </row>
    <row r="61" spans="3:17">
      <c r="C61" t="s">
        <v>546</v>
      </c>
      <c r="D61">
        <v>4</v>
      </c>
      <c r="E61" t="s">
        <v>548</v>
      </c>
      <c r="F61" t="s">
        <v>549</v>
      </c>
      <c r="G61" t="s">
        <v>550</v>
      </c>
      <c r="H61" t="s">
        <v>551</v>
      </c>
      <c r="L61">
        <v>4</v>
      </c>
      <c r="M61" t="s">
        <v>548</v>
      </c>
      <c r="N61" t="s">
        <v>550</v>
      </c>
      <c r="O61" t="s">
        <v>551</v>
      </c>
    </row>
    <row r="62" spans="3:17">
      <c r="C62" t="s">
        <v>547</v>
      </c>
      <c r="D62">
        <v>5</v>
      </c>
      <c r="E62" t="s">
        <v>552</v>
      </c>
      <c r="F62" t="s">
        <v>66</v>
      </c>
      <c r="L62">
        <v>5</v>
      </c>
      <c r="M62" t="s">
        <v>552</v>
      </c>
    </row>
    <row r="63" spans="3:17">
      <c r="C63" t="s">
        <v>534</v>
      </c>
      <c r="D63">
        <v>6</v>
      </c>
      <c r="E63" t="s">
        <v>215</v>
      </c>
      <c r="F63" t="s">
        <v>540</v>
      </c>
      <c r="L63">
        <v>6</v>
      </c>
      <c r="M63" t="s">
        <v>215</v>
      </c>
      <c r="N63" t="s">
        <v>136</v>
      </c>
      <c r="O63" t="s">
        <v>138</v>
      </c>
      <c r="P63" t="s">
        <v>140</v>
      </c>
      <c r="Q63" t="s">
        <v>142</v>
      </c>
    </row>
    <row r="64" spans="3:17">
      <c r="C64" t="s">
        <v>535</v>
      </c>
      <c r="D64">
        <v>7</v>
      </c>
      <c r="E64" t="s">
        <v>216</v>
      </c>
      <c r="F64" t="s">
        <v>62</v>
      </c>
      <c r="L64">
        <v>7</v>
      </c>
      <c r="M64" t="s">
        <v>216</v>
      </c>
      <c r="N64" t="s">
        <v>144</v>
      </c>
      <c r="O64" t="s">
        <v>146</v>
      </c>
    </row>
    <row r="65" spans="3:17">
      <c r="C65" t="s">
        <v>536</v>
      </c>
      <c r="D65">
        <v>8</v>
      </c>
      <c r="E65" t="s">
        <v>217</v>
      </c>
      <c r="F65" t="s">
        <v>540</v>
      </c>
      <c r="L65">
        <v>8</v>
      </c>
      <c r="M65" t="s">
        <v>217</v>
      </c>
      <c r="N65" t="s">
        <v>136</v>
      </c>
      <c r="O65" t="s">
        <v>138</v>
      </c>
      <c r="P65" t="s">
        <v>140</v>
      </c>
      <c r="Q65" t="s">
        <v>142</v>
      </c>
    </row>
    <row r="66" spans="3:17">
      <c r="C66" t="s">
        <v>537</v>
      </c>
      <c r="D66">
        <v>9</v>
      </c>
      <c r="E66" t="s">
        <v>218</v>
      </c>
      <c r="F66" t="s">
        <v>540</v>
      </c>
      <c r="L66">
        <v>9</v>
      </c>
      <c r="M66" t="s">
        <v>218</v>
      </c>
      <c r="N66" t="s">
        <v>136</v>
      </c>
      <c r="O66" t="s">
        <v>138</v>
      </c>
      <c r="P66" t="s">
        <v>140</v>
      </c>
      <c r="Q66" t="s">
        <v>142</v>
      </c>
    </row>
    <row r="67" spans="3:17">
      <c r="C67" t="s">
        <v>538</v>
      </c>
      <c r="D67">
        <v>10</v>
      </c>
      <c r="E67" t="s">
        <v>541</v>
      </c>
      <c r="F67" t="s">
        <v>62</v>
      </c>
      <c r="L67">
        <v>10</v>
      </c>
      <c r="M67" t="s">
        <v>541</v>
      </c>
      <c r="N67" t="s">
        <v>542</v>
      </c>
      <c r="O67" t="s">
        <v>543</v>
      </c>
    </row>
    <row r="68" spans="3:17">
      <c r="C68" t="s">
        <v>539</v>
      </c>
      <c r="D68">
        <v>11</v>
      </c>
      <c r="E68" t="s">
        <v>544</v>
      </c>
      <c r="F68" t="s">
        <v>62</v>
      </c>
      <c r="L68">
        <v>11</v>
      </c>
      <c r="M68" t="s">
        <v>544</v>
      </c>
      <c r="N68" t="s">
        <v>542</v>
      </c>
      <c r="O68" t="s">
        <v>543</v>
      </c>
    </row>
    <row r="69" spans="3:17">
      <c r="C69" t="s">
        <v>213</v>
      </c>
    </row>
    <row r="75" spans="3:17">
      <c r="C75" t="s">
        <v>214</v>
      </c>
      <c r="D75">
        <v>0</v>
      </c>
    </row>
    <row r="76" spans="3:17">
      <c r="C76" t="s">
        <v>221</v>
      </c>
      <c r="D76">
        <v>1</v>
      </c>
    </row>
    <row r="77" spans="3:17">
      <c r="C77" t="s">
        <v>222</v>
      </c>
      <c r="D77">
        <v>2</v>
      </c>
    </row>
    <row r="78" spans="3:17">
      <c r="C78" t="s">
        <v>546</v>
      </c>
      <c r="D78">
        <v>3</v>
      </c>
    </row>
    <row r="79" spans="3:17">
      <c r="C79" t="s">
        <v>547</v>
      </c>
      <c r="D79">
        <v>4</v>
      </c>
    </row>
    <row r="80" spans="3:17">
      <c r="C80" t="s">
        <v>653</v>
      </c>
      <c r="D80">
        <v>5</v>
      </c>
    </row>
    <row r="81" spans="3:15">
      <c r="C81" t="s">
        <v>535</v>
      </c>
      <c r="D81">
        <v>6</v>
      </c>
    </row>
    <row r="82" spans="3:15">
      <c r="C82" t="s">
        <v>536</v>
      </c>
      <c r="D82">
        <v>7</v>
      </c>
      <c r="E82" t="s">
        <v>552</v>
      </c>
      <c r="F82" t="s">
        <v>66</v>
      </c>
      <c r="L82">
        <f>D99</f>
        <v>5</v>
      </c>
      <c r="M82" t="s">
        <v>552</v>
      </c>
    </row>
    <row r="83" spans="3:15">
      <c r="C83" t="s">
        <v>537</v>
      </c>
      <c r="D83">
        <v>8</v>
      </c>
      <c r="E83" t="s">
        <v>663</v>
      </c>
      <c r="F83" t="s">
        <v>62</v>
      </c>
      <c r="L83">
        <f>D100</f>
        <v>6</v>
      </c>
      <c r="M83" t="s">
        <v>663</v>
      </c>
      <c r="N83" t="s">
        <v>542</v>
      </c>
      <c r="O83" t="s">
        <v>543</v>
      </c>
    </row>
    <row r="84" spans="3:15">
      <c r="C84" t="s">
        <v>538</v>
      </c>
      <c r="D84">
        <v>9</v>
      </c>
      <c r="E84" t="s">
        <v>664</v>
      </c>
      <c r="F84" t="s">
        <v>665</v>
      </c>
      <c r="L84">
        <f>D101</f>
        <v>7</v>
      </c>
      <c r="M84" t="s">
        <v>664</v>
      </c>
    </row>
    <row r="85" spans="3:15">
      <c r="C85" t="s">
        <v>656</v>
      </c>
      <c r="D85">
        <v>10</v>
      </c>
    </row>
    <row r="86" spans="3:15">
      <c r="C86" t="s">
        <v>659</v>
      </c>
      <c r="D86">
        <v>11</v>
      </c>
    </row>
    <row r="87" spans="3:15">
      <c r="C87" t="s">
        <v>539</v>
      </c>
      <c r="D87">
        <v>12</v>
      </c>
    </row>
    <row r="88" spans="3:15">
      <c r="C88" t="s">
        <v>655</v>
      </c>
      <c r="D88">
        <v>13</v>
      </c>
    </row>
    <row r="89" spans="3:15">
      <c r="C89" t="s">
        <v>657</v>
      </c>
      <c r="D89">
        <v>14</v>
      </c>
    </row>
    <row r="90" spans="3:15">
      <c r="C90" t="s">
        <v>658</v>
      </c>
      <c r="D90">
        <v>15</v>
      </c>
    </row>
    <row r="91" spans="3:15">
      <c r="C91" t="s">
        <v>213</v>
      </c>
      <c r="D91">
        <v>16</v>
      </c>
    </row>
    <row r="94" spans="3:15">
      <c r="D94">
        <v>0</v>
      </c>
      <c r="E94" t="s">
        <v>545</v>
      </c>
      <c r="F94">
        <v>25</v>
      </c>
      <c r="G94">
        <v>-40</v>
      </c>
      <c r="H94">
        <v>150</v>
      </c>
      <c r="L94">
        <f>D94</f>
        <v>0</v>
      </c>
      <c r="M94" t="s">
        <v>545</v>
      </c>
      <c r="N94">
        <v>-40</v>
      </c>
      <c r="O94">
        <v>150</v>
      </c>
    </row>
    <row r="95" spans="3:15">
      <c r="D95">
        <v>1</v>
      </c>
      <c r="E95" t="s">
        <v>66</v>
      </c>
      <c r="F95">
        <v>5</v>
      </c>
      <c r="G95">
        <v>4.5</v>
      </c>
      <c r="H95">
        <v>5.5</v>
      </c>
      <c r="L95">
        <f>D95</f>
        <v>1</v>
      </c>
      <c r="M95" t="s">
        <v>66</v>
      </c>
      <c r="N95">
        <v>4.5</v>
      </c>
      <c r="O95">
        <v>5.5</v>
      </c>
    </row>
    <row r="96" spans="3:15">
      <c r="D96">
        <v>2</v>
      </c>
      <c r="E96" t="s">
        <v>220</v>
      </c>
      <c r="F96">
        <v>5</v>
      </c>
      <c r="G96">
        <v>4.5</v>
      </c>
      <c r="H96">
        <v>5.5</v>
      </c>
      <c r="L96">
        <f>D96</f>
        <v>2</v>
      </c>
      <c r="M96" t="s">
        <v>220</v>
      </c>
      <c r="N96">
        <v>4.5</v>
      </c>
      <c r="O96">
        <v>5.5</v>
      </c>
    </row>
    <row r="97" spans="4:17">
      <c r="D97">
        <v>3</v>
      </c>
      <c r="E97" t="s">
        <v>183</v>
      </c>
      <c r="F97">
        <v>1.2</v>
      </c>
      <c r="G97">
        <v>1.08</v>
      </c>
      <c r="H97">
        <v>1.32</v>
      </c>
      <c r="L97">
        <f>D97</f>
        <v>3</v>
      </c>
      <c r="M97" t="s">
        <v>183</v>
      </c>
      <c r="N97">
        <v>1.08</v>
      </c>
      <c r="O97">
        <v>1.32</v>
      </c>
    </row>
    <row r="98" spans="4:17">
      <c r="D98">
        <v>4</v>
      </c>
      <c r="E98" t="s">
        <v>548</v>
      </c>
      <c r="F98" t="s">
        <v>549</v>
      </c>
      <c r="G98" t="s">
        <v>550</v>
      </c>
      <c r="H98" t="s">
        <v>551</v>
      </c>
      <c r="L98">
        <f>D98</f>
        <v>4</v>
      </c>
      <c r="M98" t="s">
        <v>548</v>
      </c>
      <c r="N98" t="s">
        <v>550</v>
      </c>
      <c r="O98" t="s">
        <v>551</v>
      </c>
    </row>
    <row r="99" spans="4:17">
      <c r="D99">
        <v>5</v>
      </c>
      <c r="E99" t="s">
        <v>654</v>
      </c>
      <c r="F99" t="s">
        <v>540</v>
      </c>
      <c r="L99">
        <f t="shared" ref="L99:L104" si="0">D99</f>
        <v>5</v>
      </c>
      <c r="M99" t="s">
        <v>654</v>
      </c>
      <c r="N99" t="s">
        <v>136</v>
      </c>
      <c r="O99" t="s">
        <v>138</v>
      </c>
      <c r="P99" t="s">
        <v>140</v>
      </c>
      <c r="Q99" t="s">
        <v>142</v>
      </c>
    </row>
    <row r="100" spans="4:17">
      <c r="D100">
        <v>6</v>
      </c>
      <c r="E100" t="s">
        <v>218</v>
      </c>
      <c r="F100" t="s">
        <v>540</v>
      </c>
      <c r="L100">
        <f t="shared" si="0"/>
        <v>6</v>
      </c>
      <c r="M100" t="s">
        <v>218</v>
      </c>
      <c r="N100" t="s">
        <v>136</v>
      </c>
      <c r="O100" t="s">
        <v>138</v>
      </c>
      <c r="P100" t="s">
        <v>140</v>
      </c>
      <c r="Q100" t="s">
        <v>142</v>
      </c>
    </row>
    <row r="101" spans="4:17">
      <c r="D101">
        <v>7</v>
      </c>
      <c r="E101" t="s">
        <v>541</v>
      </c>
      <c r="F101" t="s">
        <v>62</v>
      </c>
      <c r="L101">
        <f t="shared" si="0"/>
        <v>7</v>
      </c>
      <c r="M101" t="s">
        <v>541</v>
      </c>
      <c r="N101" t="s">
        <v>542</v>
      </c>
      <c r="O101" t="s">
        <v>543</v>
      </c>
    </row>
    <row r="102" spans="4:17">
      <c r="D102">
        <v>8</v>
      </c>
      <c r="E102" t="s">
        <v>661</v>
      </c>
      <c r="F102" t="s">
        <v>62</v>
      </c>
      <c r="L102">
        <f t="shared" si="0"/>
        <v>8</v>
      </c>
      <c r="M102" t="s">
        <v>661</v>
      </c>
      <c r="N102" t="s">
        <v>542</v>
      </c>
      <c r="O102" t="s">
        <v>543</v>
      </c>
    </row>
    <row r="103" spans="4:17">
      <c r="D103">
        <v>9</v>
      </c>
      <c r="E103" t="s">
        <v>544</v>
      </c>
      <c r="F103" t="s">
        <v>62</v>
      </c>
      <c r="L103">
        <f t="shared" si="0"/>
        <v>9</v>
      </c>
      <c r="M103" t="s">
        <v>544</v>
      </c>
      <c r="N103" t="s">
        <v>542</v>
      </c>
      <c r="O103" t="s">
        <v>543</v>
      </c>
    </row>
    <row r="104" spans="4:17">
      <c r="D104">
        <v>10</v>
      </c>
      <c r="E104" t="s">
        <v>662</v>
      </c>
      <c r="F104" t="s">
        <v>62</v>
      </c>
      <c r="L104">
        <f t="shared" si="0"/>
        <v>10</v>
      </c>
      <c r="M104" t="s">
        <v>662</v>
      </c>
      <c r="N104" t="s">
        <v>542</v>
      </c>
      <c r="O104" t="s">
        <v>543</v>
      </c>
    </row>
    <row r="105" spans="4:17">
      <c r="D105">
        <v>11</v>
      </c>
      <c r="E105" t="s">
        <v>217</v>
      </c>
      <c r="F105" t="s">
        <v>540</v>
      </c>
      <c r="K105">
        <f>L99</f>
        <v>5</v>
      </c>
      <c r="M105" t="s">
        <v>217</v>
      </c>
      <c r="N105" t="s">
        <v>136</v>
      </c>
      <c r="O105" t="s">
        <v>138</v>
      </c>
      <c r="P105" t="s">
        <v>140</v>
      </c>
      <c r="Q105" t="s">
        <v>142</v>
      </c>
    </row>
    <row r="106" spans="4:17">
      <c r="D106">
        <v>12</v>
      </c>
      <c r="E106" t="s">
        <v>216</v>
      </c>
      <c r="F106" t="s">
        <v>62</v>
      </c>
      <c r="K106">
        <f>L100</f>
        <v>6</v>
      </c>
      <c r="M106" t="s">
        <v>216</v>
      </c>
      <c r="N106" t="s">
        <v>144</v>
      </c>
      <c r="O106" t="s">
        <v>146</v>
      </c>
    </row>
    <row r="107" spans="4:17">
      <c r="D107">
        <v>13</v>
      </c>
      <c r="E107" t="s">
        <v>660</v>
      </c>
      <c r="F107" t="s">
        <v>62</v>
      </c>
      <c r="K107">
        <f>L101</f>
        <v>7</v>
      </c>
      <c r="M107" t="s">
        <v>660</v>
      </c>
      <c r="N107" t="s">
        <v>542</v>
      </c>
      <c r="O107" t="s">
        <v>543</v>
      </c>
    </row>
    <row r="108" spans="4:17">
      <c r="D108">
        <v>14</v>
      </c>
    </row>
    <row r="109" spans="4:17">
      <c r="D109">
        <v>15</v>
      </c>
    </row>
    <row r="110" spans="4:17">
      <c r="D110">
        <v>16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D10:F18"/>
  <sheetViews>
    <sheetView workbookViewId="0">
      <selection activeCell="F18" sqref="F18"/>
    </sheetView>
  </sheetViews>
  <sheetFormatPr defaultRowHeight="13"/>
  <cols>
    <col min="4" max="4" width="11.36328125" bestFit="1" customWidth="1"/>
  </cols>
  <sheetData>
    <row r="10" spans="4:5">
      <c r="D10" t="s">
        <v>563</v>
      </c>
      <c r="E10" t="s">
        <v>562</v>
      </c>
    </row>
    <row r="11" spans="4:5">
      <c r="D11" t="s">
        <v>564</v>
      </c>
      <c r="E11" t="s">
        <v>555</v>
      </c>
    </row>
    <row r="12" spans="4:5">
      <c r="D12" t="s">
        <v>565</v>
      </c>
      <c r="E12" t="s">
        <v>346</v>
      </c>
    </row>
    <row r="13" spans="4:5">
      <c r="D13" t="s">
        <v>565</v>
      </c>
      <c r="E13" t="s">
        <v>556</v>
      </c>
    </row>
    <row r="14" spans="4:5">
      <c r="D14" t="s">
        <v>566</v>
      </c>
      <c r="E14" t="s">
        <v>557</v>
      </c>
    </row>
    <row r="15" spans="4:5">
      <c r="D15" t="s">
        <v>566</v>
      </c>
      <c r="E15" t="s">
        <v>558</v>
      </c>
    </row>
    <row r="16" spans="4:5">
      <c r="D16" t="s">
        <v>569</v>
      </c>
      <c r="E16" t="s">
        <v>559</v>
      </c>
    </row>
    <row r="17" spans="4:6">
      <c r="D17" t="s">
        <v>568</v>
      </c>
      <c r="E17" t="s">
        <v>560</v>
      </c>
      <c r="F17" t="s">
        <v>570</v>
      </c>
    </row>
    <row r="18" spans="4:6">
      <c r="D18" t="s">
        <v>568</v>
      </c>
      <c r="E18" t="s">
        <v>561</v>
      </c>
      <c r="F18" t="s">
        <v>570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J78"/>
  <sheetViews>
    <sheetView zoomScale="70" zoomScaleNormal="70" workbookViewId="0">
      <selection activeCell="D37" sqref="D37"/>
    </sheetView>
  </sheetViews>
  <sheetFormatPr defaultRowHeight="13"/>
  <sheetData>
    <row r="2" spans="3:10">
      <c r="C2">
        <v>0</v>
      </c>
      <c r="D2" t="s">
        <v>66</v>
      </c>
      <c r="E2">
        <v>4.5</v>
      </c>
      <c r="F2">
        <v>5.5</v>
      </c>
    </row>
    <row r="3" spans="3:10">
      <c r="C3">
        <v>1</v>
      </c>
      <c r="D3" t="s">
        <v>67</v>
      </c>
      <c r="E3">
        <v>-40</v>
      </c>
      <c r="F3">
        <v>150</v>
      </c>
    </row>
    <row r="4" spans="3:10">
      <c r="C4">
        <v>2</v>
      </c>
      <c r="D4" t="s">
        <v>182</v>
      </c>
      <c r="E4">
        <v>1.998</v>
      </c>
      <c r="F4">
        <v>2.0019999999999998</v>
      </c>
    </row>
    <row r="5" spans="3:10">
      <c r="C5">
        <v>3</v>
      </c>
      <c r="D5" t="s">
        <v>132</v>
      </c>
      <c r="E5" t="s">
        <v>137</v>
      </c>
      <c r="F5" t="s">
        <v>139</v>
      </c>
      <c r="G5" t="s">
        <v>141</v>
      </c>
      <c r="H5" t="s">
        <v>143</v>
      </c>
    </row>
    <row r="6" spans="3:10">
      <c r="C6">
        <v>4</v>
      </c>
      <c r="D6" t="s">
        <v>134</v>
      </c>
      <c r="E6" t="s">
        <v>145</v>
      </c>
      <c r="F6" t="s">
        <v>147</v>
      </c>
    </row>
    <row r="7" spans="3:10">
      <c r="C7">
        <v>5</v>
      </c>
      <c r="D7" t="s">
        <v>151</v>
      </c>
      <c r="E7" t="s">
        <v>137</v>
      </c>
      <c r="F7" t="s">
        <v>139</v>
      </c>
      <c r="G7" t="s">
        <v>141</v>
      </c>
      <c r="H7" t="s">
        <v>143</v>
      </c>
    </row>
    <row r="8" spans="3:10">
      <c r="C8">
        <v>6</v>
      </c>
      <c r="D8" t="s">
        <v>149</v>
      </c>
      <c r="E8" t="s">
        <v>145</v>
      </c>
      <c r="F8" t="s">
        <v>147</v>
      </c>
    </row>
    <row r="13" spans="3:10">
      <c r="C13" t="s">
        <v>162</v>
      </c>
      <c r="D13">
        <v>4.5</v>
      </c>
      <c r="E13">
        <v>-40</v>
      </c>
      <c r="F13">
        <v>1.998</v>
      </c>
      <c r="G13" t="s">
        <v>136</v>
      </c>
      <c r="H13" t="s">
        <v>144</v>
      </c>
      <c r="I13" t="s">
        <v>136</v>
      </c>
      <c r="J13" t="s">
        <v>144</v>
      </c>
    </row>
    <row r="14" spans="3:10">
      <c r="C14" t="s">
        <v>152</v>
      </c>
      <c r="D14" t="s">
        <v>66</v>
      </c>
      <c r="E14" t="s">
        <v>67</v>
      </c>
      <c r="F14" t="s">
        <v>183</v>
      </c>
      <c r="G14" t="s">
        <v>132</v>
      </c>
      <c r="H14" t="s">
        <v>134</v>
      </c>
      <c r="I14" t="s">
        <v>150</v>
      </c>
      <c r="J14" t="s">
        <v>148</v>
      </c>
    </row>
    <row r="15" spans="3:10">
      <c r="C15" t="s">
        <v>153</v>
      </c>
      <c r="D15">
        <v>4.5</v>
      </c>
      <c r="E15">
        <v>-40</v>
      </c>
      <c r="F15">
        <v>1.998</v>
      </c>
      <c r="G15" t="s">
        <v>136</v>
      </c>
      <c r="H15" t="s">
        <v>144</v>
      </c>
      <c r="I15" t="s">
        <v>136</v>
      </c>
      <c r="J15" t="s">
        <v>144</v>
      </c>
    </row>
    <row r="16" spans="3:10">
      <c r="D16">
        <v>5.5</v>
      </c>
      <c r="E16">
        <v>-40</v>
      </c>
      <c r="F16">
        <v>1.998</v>
      </c>
      <c r="G16" t="s">
        <v>136</v>
      </c>
      <c r="H16" t="s">
        <v>144</v>
      </c>
      <c r="I16" t="s">
        <v>136</v>
      </c>
      <c r="J16" t="s">
        <v>144</v>
      </c>
    </row>
    <row r="17" spans="3:10">
      <c r="D17">
        <v>4.5</v>
      </c>
      <c r="E17">
        <v>150</v>
      </c>
      <c r="F17">
        <v>1.998</v>
      </c>
      <c r="G17" t="s">
        <v>136</v>
      </c>
      <c r="H17" t="s">
        <v>144</v>
      </c>
      <c r="I17" t="s">
        <v>136</v>
      </c>
      <c r="J17" t="s">
        <v>144</v>
      </c>
    </row>
    <row r="18" spans="3:10">
      <c r="D18">
        <v>5.5</v>
      </c>
      <c r="E18">
        <v>150</v>
      </c>
      <c r="F18">
        <v>1.998</v>
      </c>
      <c r="G18" t="s">
        <v>136</v>
      </c>
      <c r="H18" t="s">
        <v>144</v>
      </c>
      <c r="I18" t="s">
        <v>136</v>
      </c>
      <c r="J18" t="s">
        <v>144</v>
      </c>
    </row>
    <row r="19" spans="3:10">
      <c r="D19">
        <v>4.5</v>
      </c>
      <c r="E19">
        <v>-40</v>
      </c>
      <c r="F19">
        <v>2.0019999999999998</v>
      </c>
      <c r="G19" t="s">
        <v>136</v>
      </c>
      <c r="H19" t="s">
        <v>144</v>
      </c>
      <c r="I19" t="s">
        <v>136</v>
      </c>
      <c r="J19" t="s">
        <v>144</v>
      </c>
    </row>
    <row r="20" spans="3:10">
      <c r="D20">
        <v>5.5</v>
      </c>
      <c r="E20">
        <v>-40</v>
      </c>
      <c r="F20">
        <v>2.0019999999999998</v>
      </c>
      <c r="G20" t="s">
        <v>136</v>
      </c>
      <c r="H20" t="s">
        <v>144</v>
      </c>
      <c r="I20" t="s">
        <v>136</v>
      </c>
      <c r="J20" t="s">
        <v>144</v>
      </c>
    </row>
    <row r="21" spans="3:10">
      <c r="D21">
        <v>4.5</v>
      </c>
      <c r="E21">
        <v>150</v>
      </c>
      <c r="F21">
        <v>2.0019999999999998</v>
      </c>
      <c r="G21" t="s">
        <v>136</v>
      </c>
      <c r="H21" t="s">
        <v>144</v>
      </c>
      <c r="I21" t="s">
        <v>136</v>
      </c>
      <c r="J21" t="s">
        <v>144</v>
      </c>
    </row>
    <row r="22" spans="3:10">
      <c r="D22">
        <v>5.5</v>
      </c>
      <c r="E22">
        <v>150</v>
      </c>
      <c r="F22">
        <v>2.0019999999999998</v>
      </c>
      <c r="G22" t="s">
        <v>136</v>
      </c>
      <c r="H22" t="s">
        <v>144</v>
      </c>
      <c r="I22" t="s">
        <v>136</v>
      </c>
      <c r="J22" t="s">
        <v>144</v>
      </c>
    </row>
    <row r="23" spans="3:10">
      <c r="C23" t="s">
        <v>154</v>
      </c>
      <c r="D23">
        <v>4.5</v>
      </c>
      <c r="E23">
        <v>-40</v>
      </c>
      <c r="F23">
        <v>1.998</v>
      </c>
      <c r="G23" t="s">
        <v>138</v>
      </c>
      <c r="H23" t="s">
        <v>144</v>
      </c>
      <c r="I23" t="s">
        <v>138</v>
      </c>
      <c r="J23" t="s">
        <v>144</v>
      </c>
    </row>
    <row r="24" spans="3:10">
      <c r="D24">
        <v>5.5</v>
      </c>
      <c r="E24">
        <v>-40</v>
      </c>
      <c r="F24">
        <v>1.998</v>
      </c>
      <c r="G24" t="s">
        <v>138</v>
      </c>
      <c r="H24" t="s">
        <v>144</v>
      </c>
      <c r="I24" t="s">
        <v>138</v>
      </c>
      <c r="J24" t="s">
        <v>144</v>
      </c>
    </row>
    <row r="25" spans="3:10">
      <c r="D25">
        <v>4.5</v>
      </c>
      <c r="E25">
        <v>150</v>
      </c>
      <c r="F25">
        <v>1.998</v>
      </c>
      <c r="G25" t="s">
        <v>138</v>
      </c>
      <c r="H25" t="s">
        <v>144</v>
      </c>
      <c r="I25" t="s">
        <v>138</v>
      </c>
      <c r="J25" t="s">
        <v>144</v>
      </c>
    </row>
    <row r="26" spans="3:10">
      <c r="D26">
        <v>5.5</v>
      </c>
      <c r="E26">
        <v>150</v>
      </c>
      <c r="F26">
        <v>1.998</v>
      </c>
      <c r="G26" t="s">
        <v>138</v>
      </c>
      <c r="H26" t="s">
        <v>144</v>
      </c>
      <c r="I26" t="s">
        <v>138</v>
      </c>
      <c r="J26" t="s">
        <v>144</v>
      </c>
    </row>
    <row r="27" spans="3:10">
      <c r="D27">
        <v>4.5</v>
      </c>
      <c r="E27">
        <v>-40</v>
      </c>
      <c r="F27">
        <v>2.0019999999999998</v>
      </c>
      <c r="G27" t="s">
        <v>138</v>
      </c>
      <c r="H27" t="s">
        <v>144</v>
      </c>
      <c r="I27" t="s">
        <v>138</v>
      </c>
      <c r="J27" t="s">
        <v>144</v>
      </c>
    </row>
    <row r="28" spans="3:10">
      <c r="D28">
        <v>5.5</v>
      </c>
      <c r="E28">
        <v>-40</v>
      </c>
      <c r="F28">
        <v>2.0019999999999998</v>
      </c>
      <c r="G28" t="s">
        <v>138</v>
      </c>
      <c r="H28" t="s">
        <v>144</v>
      </c>
      <c r="I28" t="s">
        <v>138</v>
      </c>
      <c r="J28" t="s">
        <v>144</v>
      </c>
    </row>
    <row r="29" spans="3:10">
      <c r="D29">
        <v>4.5</v>
      </c>
      <c r="E29">
        <v>150</v>
      </c>
      <c r="F29">
        <v>2.0019999999999998</v>
      </c>
      <c r="G29" t="s">
        <v>138</v>
      </c>
      <c r="H29" t="s">
        <v>144</v>
      </c>
      <c r="I29" t="s">
        <v>138</v>
      </c>
      <c r="J29" t="s">
        <v>144</v>
      </c>
    </row>
    <row r="30" spans="3:10">
      <c r="D30">
        <v>5.5</v>
      </c>
      <c r="E30">
        <v>150</v>
      </c>
      <c r="F30">
        <v>2.0019999999999998</v>
      </c>
      <c r="G30" t="s">
        <v>138</v>
      </c>
      <c r="H30" t="s">
        <v>144</v>
      </c>
      <c r="I30" t="s">
        <v>138</v>
      </c>
      <c r="J30" t="s">
        <v>144</v>
      </c>
    </row>
    <row r="31" spans="3:10">
      <c r="C31" t="s">
        <v>155</v>
      </c>
      <c r="D31">
        <v>4.5</v>
      </c>
      <c r="E31">
        <v>-40</v>
      </c>
      <c r="F31">
        <v>1.998</v>
      </c>
      <c r="G31" t="s">
        <v>140</v>
      </c>
      <c r="H31" t="s">
        <v>144</v>
      </c>
      <c r="I31" t="s">
        <v>140</v>
      </c>
      <c r="J31" t="s">
        <v>144</v>
      </c>
    </row>
    <row r="32" spans="3:10">
      <c r="D32">
        <v>5.5</v>
      </c>
      <c r="E32">
        <v>-40</v>
      </c>
      <c r="F32">
        <v>1.998</v>
      </c>
      <c r="G32" t="s">
        <v>140</v>
      </c>
      <c r="H32" t="s">
        <v>144</v>
      </c>
      <c r="I32" t="s">
        <v>140</v>
      </c>
      <c r="J32" t="s">
        <v>144</v>
      </c>
    </row>
    <row r="33" spans="3:10">
      <c r="D33">
        <v>4.5</v>
      </c>
      <c r="E33">
        <v>150</v>
      </c>
      <c r="F33">
        <v>1.998</v>
      </c>
      <c r="G33" t="s">
        <v>140</v>
      </c>
      <c r="H33" t="s">
        <v>144</v>
      </c>
      <c r="I33" t="s">
        <v>140</v>
      </c>
      <c r="J33" t="s">
        <v>144</v>
      </c>
    </row>
    <row r="34" spans="3:10">
      <c r="D34">
        <v>5.5</v>
      </c>
      <c r="E34">
        <v>150</v>
      </c>
      <c r="F34">
        <v>1.998</v>
      </c>
      <c r="G34" t="s">
        <v>140</v>
      </c>
      <c r="H34" t="s">
        <v>144</v>
      </c>
      <c r="I34" t="s">
        <v>140</v>
      </c>
      <c r="J34" t="s">
        <v>144</v>
      </c>
    </row>
    <row r="35" spans="3:10">
      <c r="D35">
        <v>4.5</v>
      </c>
      <c r="E35">
        <v>-40</v>
      </c>
      <c r="F35">
        <v>2.0019999999999998</v>
      </c>
      <c r="G35" t="s">
        <v>140</v>
      </c>
      <c r="H35" t="s">
        <v>144</v>
      </c>
      <c r="I35" t="s">
        <v>140</v>
      </c>
      <c r="J35" t="s">
        <v>144</v>
      </c>
    </row>
    <row r="36" spans="3:10">
      <c r="D36">
        <v>5.5</v>
      </c>
      <c r="E36">
        <v>-40</v>
      </c>
      <c r="F36">
        <v>2.0019999999999998</v>
      </c>
      <c r="G36" t="s">
        <v>140</v>
      </c>
      <c r="H36" t="s">
        <v>144</v>
      </c>
      <c r="I36" t="s">
        <v>140</v>
      </c>
      <c r="J36" t="s">
        <v>144</v>
      </c>
    </row>
    <row r="37" spans="3:10">
      <c r="D37">
        <v>4.5</v>
      </c>
      <c r="E37">
        <v>150</v>
      </c>
      <c r="F37">
        <v>2.0019999999999998</v>
      </c>
      <c r="G37" t="s">
        <v>140</v>
      </c>
      <c r="H37" t="s">
        <v>144</v>
      </c>
      <c r="I37" t="s">
        <v>140</v>
      </c>
      <c r="J37" t="s">
        <v>144</v>
      </c>
    </row>
    <row r="38" spans="3:10">
      <c r="D38">
        <v>5.5</v>
      </c>
      <c r="E38">
        <v>150</v>
      </c>
      <c r="F38">
        <v>2.0019999999999998</v>
      </c>
      <c r="G38" t="s">
        <v>140</v>
      </c>
      <c r="H38" t="s">
        <v>144</v>
      </c>
      <c r="I38" t="s">
        <v>140</v>
      </c>
      <c r="J38" t="s">
        <v>144</v>
      </c>
    </row>
    <row r="39" spans="3:10">
      <c r="C39" t="s">
        <v>156</v>
      </c>
      <c r="D39">
        <v>4.5</v>
      </c>
      <c r="E39">
        <v>-40</v>
      </c>
      <c r="F39">
        <v>1.998</v>
      </c>
      <c r="G39" t="s">
        <v>142</v>
      </c>
      <c r="H39" t="s">
        <v>144</v>
      </c>
      <c r="I39" t="s">
        <v>142</v>
      </c>
      <c r="J39" t="s">
        <v>144</v>
      </c>
    </row>
    <row r="40" spans="3:10">
      <c r="D40">
        <v>5.5</v>
      </c>
      <c r="E40">
        <v>-40</v>
      </c>
      <c r="F40">
        <v>1.998</v>
      </c>
      <c r="G40" t="s">
        <v>142</v>
      </c>
      <c r="H40" t="s">
        <v>144</v>
      </c>
      <c r="I40" t="s">
        <v>142</v>
      </c>
      <c r="J40" t="s">
        <v>144</v>
      </c>
    </row>
    <row r="41" spans="3:10">
      <c r="D41">
        <v>4.5</v>
      </c>
      <c r="E41">
        <v>150</v>
      </c>
      <c r="F41">
        <v>1.998</v>
      </c>
      <c r="G41" t="s">
        <v>142</v>
      </c>
      <c r="H41" t="s">
        <v>144</v>
      </c>
      <c r="I41" t="s">
        <v>142</v>
      </c>
      <c r="J41" t="s">
        <v>144</v>
      </c>
    </row>
    <row r="42" spans="3:10">
      <c r="D42">
        <v>5.5</v>
      </c>
      <c r="E42">
        <v>150</v>
      </c>
      <c r="F42">
        <v>1.998</v>
      </c>
      <c r="G42" t="s">
        <v>142</v>
      </c>
      <c r="H42" t="s">
        <v>144</v>
      </c>
      <c r="I42" t="s">
        <v>142</v>
      </c>
      <c r="J42" t="s">
        <v>144</v>
      </c>
    </row>
    <row r="43" spans="3:10">
      <c r="D43">
        <v>4.5</v>
      </c>
      <c r="E43">
        <v>-40</v>
      </c>
      <c r="F43">
        <v>2.0019999999999998</v>
      </c>
      <c r="G43" t="s">
        <v>142</v>
      </c>
      <c r="H43" t="s">
        <v>144</v>
      </c>
      <c r="I43" t="s">
        <v>142</v>
      </c>
      <c r="J43" t="s">
        <v>144</v>
      </c>
    </row>
    <row r="44" spans="3:10">
      <c r="D44">
        <v>5.5</v>
      </c>
      <c r="E44">
        <v>-40</v>
      </c>
      <c r="F44">
        <v>2.0019999999999998</v>
      </c>
      <c r="G44" t="s">
        <v>142</v>
      </c>
      <c r="H44" t="s">
        <v>144</v>
      </c>
      <c r="I44" t="s">
        <v>142</v>
      </c>
      <c r="J44" t="s">
        <v>144</v>
      </c>
    </row>
    <row r="45" spans="3:10">
      <c r="D45">
        <v>4.5</v>
      </c>
      <c r="E45">
        <v>150</v>
      </c>
      <c r="F45">
        <v>2.0019999999999998</v>
      </c>
      <c r="G45" t="s">
        <v>142</v>
      </c>
      <c r="H45" t="s">
        <v>144</v>
      </c>
      <c r="I45" t="s">
        <v>142</v>
      </c>
      <c r="J45" t="s">
        <v>144</v>
      </c>
    </row>
    <row r="46" spans="3:10">
      <c r="D46">
        <v>5.5</v>
      </c>
      <c r="E46">
        <v>150</v>
      </c>
      <c r="F46">
        <v>2.0019999999999998</v>
      </c>
      <c r="G46" t="s">
        <v>142</v>
      </c>
      <c r="H46" t="s">
        <v>144</v>
      </c>
      <c r="I46" t="s">
        <v>142</v>
      </c>
      <c r="J46" t="s">
        <v>144</v>
      </c>
    </row>
    <row r="47" spans="3:10">
      <c r="C47" t="s">
        <v>157</v>
      </c>
      <c r="D47">
        <v>4.5</v>
      </c>
      <c r="E47">
        <v>-40</v>
      </c>
      <c r="F47">
        <v>1.998</v>
      </c>
      <c r="G47" t="s">
        <v>136</v>
      </c>
      <c r="H47" t="s">
        <v>146</v>
      </c>
      <c r="I47" t="s">
        <v>136</v>
      </c>
      <c r="J47" t="s">
        <v>146</v>
      </c>
    </row>
    <row r="48" spans="3:10">
      <c r="D48">
        <v>5.5</v>
      </c>
      <c r="E48">
        <v>-40</v>
      </c>
      <c r="F48">
        <v>1.998</v>
      </c>
      <c r="G48" t="s">
        <v>136</v>
      </c>
      <c r="H48" t="s">
        <v>146</v>
      </c>
      <c r="I48" t="s">
        <v>136</v>
      </c>
      <c r="J48" t="s">
        <v>146</v>
      </c>
    </row>
    <row r="49" spans="3:10">
      <c r="D49">
        <v>4.5</v>
      </c>
      <c r="E49">
        <v>150</v>
      </c>
      <c r="F49">
        <v>1.998</v>
      </c>
      <c r="G49" t="s">
        <v>136</v>
      </c>
      <c r="H49" t="s">
        <v>146</v>
      </c>
      <c r="I49" t="s">
        <v>136</v>
      </c>
      <c r="J49" t="s">
        <v>146</v>
      </c>
    </row>
    <row r="50" spans="3:10">
      <c r="D50">
        <v>5.5</v>
      </c>
      <c r="E50">
        <v>150</v>
      </c>
      <c r="F50">
        <v>1.998</v>
      </c>
      <c r="G50" t="s">
        <v>136</v>
      </c>
      <c r="H50" t="s">
        <v>146</v>
      </c>
      <c r="I50" t="s">
        <v>136</v>
      </c>
      <c r="J50" t="s">
        <v>146</v>
      </c>
    </row>
    <row r="51" spans="3:10">
      <c r="D51">
        <v>4.5</v>
      </c>
      <c r="E51">
        <v>-40</v>
      </c>
      <c r="F51">
        <v>2.0019999999999998</v>
      </c>
      <c r="G51" t="s">
        <v>136</v>
      </c>
      <c r="H51" t="s">
        <v>146</v>
      </c>
      <c r="I51" t="s">
        <v>136</v>
      </c>
      <c r="J51" t="s">
        <v>146</v>
      </c>
    </row>
    <row r="52" spans="3:10">
      <c r="D52">
        <v>5.5</v>
      </c>
      <c r="E52">
        <v>-40</v>
      </c>
      <c r="F52">
        <v>2.0019999999999998</v>
      </c>
      <c r="G52" t="s">
        <v>136</v>
      </c>
      <c r="H52" t="s">
        <v>146</v>
      </c>
      <c r="I52" t="s">
        <v>136</v>
      </c>
      <c r="J52" t="s">
        <v>146</v>
      </c>
    </row>
    <row r="53" spans="3:10">
      <c r="D53">
        <v>4.5</v>
      </c>
      <c r="E53">
        <v>150</v>
      </c>
      <c r="F53">
        <v>2.0019999999999998</v>
      </c>
      <c r="G53" t="s">
        <v>136</v>
      </c>
      <c r="H53" t="s">
        <v>146</v>
      </c>
      <c r="I53" t="s">
        <v>136</v>
      </c>
      <c r="J53" t="s">
        <v>146</v>
      </c>
    </row>
    <row r="54" spans="3:10">
      <c r="D54">
        <v>5.5</v>
      </c>
      <c r="E54">
        <v>150</v>
      </c>
      <c r="F54">
        <v>2.0019999999999998</v>
      </c>
      <c r="G54" t="s">
        <v>136</v>
      </c>
      <c r="H54" t="s">
        <v>146</v>
      </c>
      <c r="I54" t="s">
        <v>136</v>
      </c>
      <c r="J54" t="s">
        <v>146</v>
      </c>
    </row>
    <row r="55" spans="3:10">
      <c r="C55" t="s">
        <v>158</v>
      </c>
      <c r="D55">
        <v>4.5</v>
      </c>
      <c r="E55">
        <v>-40</v>
      </c>
      <c r="F55">
        <v>1.998</v>
      </c>
      <c r="G55" t="s">
        <v>138</v>
      </c>
      <c r="H55" t="s">
        <v>146</v>
      </c>
      <c r="I55" t="s">
        <v>138</v>
      </c>
      <c r="J55" t="s">
        <v>146</v>
      </c>
    </row>
    <row r="56" spans="3:10">
      <c r="D56">
        <v>5.5</v>
      </c>
      <c r="E56">
        <v>-40</v>
      </c>
      <c r="F56">
        <v>1.998</v>
      </c>
      <c r="G56" t="s">
        <v>138</v>
      </c>
      <c r="H56" t="s">
        <v>146</v>
      </c>
      <c r="I56" t="s">
        <v>138</v>
      </c>
      <c r="J56" t="s">
        <v>146</v>
      </c>
    </row>
    <row r="57" spans="3:10">
      <c r="D57">
        <v>4.5</v>
      </c>
      <c r="E57">
        <v>150</v>
      </c>
      <c r="F57">
        <v>1.998</v>
      </c>
      <c r="G57" t="s">
        <v>138</v>
      </c>
      <c r="H57" t="s">
        <v>146</v>
      </c>
      <c r="I57" t="s">
        <v>138</v>
      </c>
      <c r="J57" t="s">
        <v>146</v>
      </c>
    </row>
    <row r="58" spans="3:10">
      <c r="D58">
        <v>5.5</v>
      </c>
      <c r="E58">
        <v>150</v>
      </c>
      <c r="F58">
        <v>1.998</v>
      </c>
      <c r="G58" t="s">
        <v>138</v>
      </c>
      <c r="H58" t="s">
        <v>146</v>
      </c>
      <c r="I58" t="s">
        <v>138</v>
      </c>
      <c r="J58" t="s">
        <v>146</v>
      </c>
    </row>
    <row r="59" spans="3:10">
      <c r="D59">
        <v>4.5</v>
      </c>
      <c r="E59">
        <v>-40</v>
      </c>
      <c r="F59">
        <v>2.0019999999999998</v>
      </c>
      <c r="G59" t="s">
        <v>138</v>
      </c>
      <c r="H59" t="s">
        <v>146</v>
      </c>
      <c r="I59" t="s">
        <v>138</v>
      </c>
      <c r="J59" t="s">
        <v>146</v>
      </c>
    </row>
    <row r="60" spans="3:10">
      <c r="D60">
        <v>5.5</v>
      </c>
      <c r="E60">
        <v>-40</v>
      </c>
      <c r="F60">
        <v>2.0019999999999998</v>
      </c>
      <c r="G60" t="s">
        <v>138</v>
      </c>
      <c r="H60" t="s">
        <v>146</v>
      </c>
      <c r="I60" t="s">
        <v>138</v>
      </c>
      <c r="J60" t="s">
        <v>146</v>
      </c>
    </row>
    <row r="61" spans="3:10">
      <c r="D61">
        <v>4.5</v>
      </c>
      <c r="E61">
        <v>150</v>
      </c>
      <c r="F61">
        <v>2.0019999999999998</v>
      </c>
      <c r="G61" t="s">
        <v>138</v>
      </c>
      <c r="H61" t="s">
        <v>146</v>
      </c>
      <c r="I61" t="s">
        <v>138</v>
      </c>
      <c r="J61" t="s">
        <v>146</v>
      </c>
    </row>
    <row r="62" spans="3:10">
      <c r="D62">
        <v>5.5</v>
      </c>
      <c r="E62">
        <v>150</v>
      </c>
      <c r="F62">
        <v>2.0019999999999998</v>
      </c>
      <c r="G62" t="s">
        <v>138</v>
      </c>
      <c r="H62" t="s">
        <v>146</v>
      </c>
      <c r="I62" t="s">
        <v>138</v>
      </c>
      <c r="J62" t="s">
        <v>146</v>
      </c>
    </row>
    <row r="63" spans="3:10">
      <c r="C63" t="s">
        <v>159</v>
      </c>
      <c r="D63">
        <v>4.5</v>
      </c>
      <c r="E63">
        <v>-40</v>
      </c>
      <c r="F63">
        <v>1.998</v>
      </c>
      <c r="G63" t="s">
        <v>140</v>
      </c>
      <c r="H63" t="s">
        <v>146</v>
      </c>
      <c r="I63" t="s">
        <v>140</v>
      </c>
      <c r="J63" t="s">
        <v>146</v>
      </c>
    </row>
    <row r="64" spans="3:10">
      <c r="D64">
        <v>5.5</v>
      </c>
      <c r="E64">
        <v>-40</v>
      </c>
      <c r="F64">
        <v>1.998</v>
      </c>
      <c r="G64" t="s">
        <v>140</v>
      </c>
      <c r="H64" t="s">
        <v>146</v>
      </c>
      <c r="I64" t="s">
        <v>140</v>
      </c>
      <c r="J64" t="s">
        <v>146</v>
      </c>
    </row>
    <row r="65" spans="3:10">
      <c r="D65">
        <v>4.5</v>
      </c>
      <c r="E65">
        <v>150</v>
      </c>
      <c r="F65">
        <v>1.998</v>
      </c>
      <c r="G65" t="s">
        <v>140</v>
      </c>
      <c r="H65" t="s">
        <v>146</v>
      </c>
      <c r="I65" t="s">
        <v>140</v>
      </c>
      <c r="J65" t="s">
        <v>146</v>
      </c>
    </row>
    <row r="66" spans="3:10">
      <c r="D66">
        <v>5.5</v>
      </c>
      <c r="E66">
        <v>150</v>
      </c>
      <c r="F66">
        <v>1.998</v>
      </c>
      <c r="G66" t="s">
        <v>140</v>
      </c>
      <c r="H66" t="s">
        <v>146</v>
      </c>
      <c r="I66" t="s">
        <v>140</v>
      </c>
      <c r="J66" t="s">
        <v>146</v>
      </c>
    </row>
    <row r="67" spans="3:10">
      <c r="D67">
        <v>4.5</v>
      </c>
      <c r="E67">
        <v>-40</v>
      </c>
      <c r="F67">
        <v>2.0019999999999998</v>
      </c>
      <c r="G67" t="s">
        <v>140</v>
      </c>
      <c r="H67" t="s">
        <v>146</v>
      </c>
      <c r="I67" t="s">
        <v>140</v>
      </c>
      <c r="J67" t="s">
        <v>146</v>
      </c>
    </row>
    <row r="68" spans="3:10">
      <c r="D68">
        <v>5.5</v>
      </c>
      <c r="E68">
        <v>-40</v>
      </c>
      <c r="F68">
        <v>2.0019999999999998</v>
      </c>
      <c r="G68" t="s">
        <v>140</v>
      </c>
      <c r="H68" t="s">
        <v>146</v>
      </c>
      <c r="I68" t="s">
        <v>140</v>
      </c>
      <c r="J68" t="s">
        <v>146</v>
      </c>
    </row>
    <row r="69" spans="3:10">
      <c r="D69">
        <v>4.5</v>
      </c>
      <c r="E69">
        <v>150</v>
      </c>
      <c r="F69">
        <v>2.0019999999999998</v>
      </c>
      <c r="G69" t="s">
        <v>140</v>
      </c>
      <c r="H69" t="s">
        <v>146</v>
      </c>
      <c r="I69" t="s">
        <v>140</v>
      </c>
      <c r="J69" t="s">
        <v>146</v>
      </c>
    </row>
    <row r="70" spans="3:10">
      <c r="D70">
        <v>5.5</v>
      </c>
      <c r="E70">
        <v>150</v>
      </c>
      <c r="F70">
        <v>2.0019999999999998</v>
      </c>
      <c r="G70" t="s">
        <v>140</v>
      </c>
      <c r="H70" t="s">
        <v>146</v>
      </c>
      <c r="I70" t="s">
        <v>140</v>
      </c>
      <c r="J70" t="s">
        <v>146</v>
      </c>
    </row>
    <row r="71" spans="3:10">
      <c r="C71" t="s">
        <v>160</v>
      </c>
      <c r="D71">
        <v>4.5</v>
      </c>
      <c r="E71">
        <v>-40</v>
      </c>
      <c r="F71">
        <v>1.998</v>
      </c>
      <c r="G71" t="s">
        <v>142</v>
      </c>
      <c r="H71" t="s">
        <v>146</v>
      </c>
      <c r="I71" t="s">
        <v>142</v>
      </c>
      <c r="J71" t="s">
        <v>146</v>
      </c>
    </row>
    <row r="72" spans="3:10">
      <c r="D72">
        <v>5.5</v>
      </c>
      <c r="E72">
        <v>-40</v>
      </c>
      <c r="F72">
        <v>1.998</v>
      </c>
      <c r="G72" t="s">
        <v>142</v>
      </c>
      <c r="H72" t="s">
        <v>146</v>
      </c>
      <c r="I72" t="s">
        <v>142</v>
      </c>
      <c r="J72" t="s">
        <v>146</v>
      </c>
    </row>
    <row r="73" spans="3:10">
      <c r="D73">
        <v>4.5</v>
      </c>
      <c r="E73">
        <v>150</v>
      </c>
      <c r="F73">
        <v>1.998</v>
      </c>
      <c r="G73" t="s">
        <v>142</v>
      </c>
      <c r="H73" t="s">
        <v>146</v>
      </c>
      <c r="I73" t="s">
        <v>142</v>
      </c>
      <c r="J73" t="s">
        <v>146</v>
      </c>
    </row>
    <row r="74" spans="3:10">
      <c r="D74">
        <v>5.5</v>
      </c>
      <c r="E74">
        <v>150</v>
      </c>
      <c r="F74">
        <v>1.998</v>
      </c>
      <c r="G74" t="s">
        <v>142</v>
      </c>
      <c r="H74" t="s">
        <v>146</v>
      </c>
      <c r="I74" t="s">
        <v>142</v>
      </c>
      <c r="J74" t="s">
        <v>146</v>
      </c>
    </row>
    <row r="75" spans="3:10">
      <c r="D75">
        <v>4.5</v>
      </c>
      <c r="E75">
        <v>-40</v>
      </c>
      <c r="F75">
        <v>2.0019999999999998</v>
      </c>
      <c r="G75" t="s">
        <v>142</v>
      </c>
      <c r="H75" t="s">
        <v>146</v>
      </c>
      <c r="I75" t="s">
        <v>142</v>
      </c>
      <c r="J75" t="s">
        <v>146</v>
      </c>
    </row>
    <row r="76" spans="3:10">
      <c r="D76">
        <v>5.5</v>
      </c>
      <c r="E76">
        <v>-40</v>
      </c>
      <c r="F76">
        <v>2.0019999999999998</v>
      </c>
      <c r="G76" t="s">
        <v>142</v>
      </c>
      <c r="H76" t="s">
        <v>146</v>
      </c>
      <c r="I76" t="s">
        <v>142</v>
      </c>
      <c r="J76" t="s">
        <v>146</v>
      </c>
    </row>
    <row r="77" spans="3:10">
      <c r="D77">
        <v>4.5</v>
      </c>
      <c r="E77">
        <v>150</v>
      </c>
      <c r="F77">
        <v>2.0019999999999998</v>
      </c>
      <c r="G77" t="s">
        <v>142</v>
      </c>
      <c r="H77" t="s">
        <v>146</v>
      </c>
      <c r="I77" t="s">
        <v>142</v>
      </c>
      <c r="J77" t="s">
        <v>146</v>
      </c>
    </row>
    <row r="78" spans="3:10">
      <c r="D78">
        <v>5.5</v>
      </c>
      <c r="E78">
        <v>150</v>
      </c>
      <c r="F78">
        <v>2.0019999999999998</v>
      </c>
      <c r="G78" t="s">
        <v>142</v>
      </c>
      <c r="H78" t="s">
        <v>146</v>
      </c>
      <c r="I78" t="s">
        <v>142</v>
      </c>
      <c r="J78" t="s">
        <v>146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S8"/>
  <sheetViews>
    <sheetView zoomScale="70" zoomScaleNormal="70" workbookViewId="0">
      <selection activeCell="A9" sqref="A9"/>
    </sheetView>
  </sheetViews>
  <sheetFormatPr defaultRowHeight="13"/>
  <cols>
    <col min="3" max="3" width="11.90625" bestFit="1" customWidth="1"/>
    <col min="4" max="4" width="28.453125" customWidth="1"/>
  </cols>
  <sheetData>
    <row r="2" spans="2:19">
      <c r="C2">
        <v>0</v>
      </c>
      <c r="D2" t="s">
        <v>66</v>
      </c>
      <c r="E2">
        <v>5</v>
      </c>
      <c r="F2">
        <v>4.5</v>
      </c>
      <c r="G2">
        <v>5.5</v>
      </c>
      <c r="L2">
        <v>0</v>
      </c>
      <c r="M2" t="s">
        <v>66</v>
      </c>
      <c r="N2">
        <v>4.5</v>
      </c>
      <c r="O2">
        <v>5.5</v>
      </c>
      <c r="S2">
        <v>2</v>
      </c>
    </row>
    <row r="3" spans="2:19">
      <c r="C3">
        <v>1</v>
      </c>
      <c r="D3" t="s">
        <v>67</v>
      </c>
      <c r="E3">
        <v>25</v>
      </c>
      <c r="F3">
        <v>-40</v>
      </c>
      <c r="G3">
        <v>150</v>
      </c>
      <c r="L3">
        <v>1</v>
      </c>
      <c r="M3" t="s">
        <v>67</v>
      </c>
      <c r="N3">
        <v>-40</v>
      </c>
      <c r="O3">
        <v>150</v>
      </c>
      <c r="S3">
        <v>2</v>
      </c>
    </row>
    <row r="4" spans="2:19">
      <c r="C4">
        <v>2</v>
      </c>
      <c r="D4" t="s">
        <v>182</v>
      </c>
      <c r="E4">
        <v>2</v>
      </c>
      <c r="F4">
        <v>1.998</v>
      </c>
      <c r="G4">
        <v>2.0019999999999998</v>
      </c>
      <c r="L4">
        <v>2</v>
      </c>
      <c r="M4" t="s">
        <v>182</v>
      </c>
      <c r="N4">
        <v>1.998</v>
      </c>
      <c r="O4">
        <v>2.0019999999999998</v>
      </c>
      <c r="S4">
        <v>2</v>
      </c>
    </row>
    <row r="5" spans="2:19">
      <c r="C5">
        <v>3</v>
      </c>
      <c r="D5" t="s">
        <v>132</v>
      </c>
      <c r="E5" t="s">
        <v>244</v>
      </c>
      <c r="L5">
        <v>3</v>
      </c>
      <c r="M5" t="s">
        <v>132</v>
      </c>
      <c r="N5" t="s">
        <v>137</v>
      </c>
      <c r="O5" t="s">
        <v>139</v>
      </c>
      <c r="P5" t="s">
        <v>141</v>
      </c>
      <c r="Q5" t="s">
        <v>143</v>
      </c>
      <c r="S5">
        <v>4</v>
      </c>
    </row>
    <row r="6" spans="2:19">
      <c r="B6">
        <v>3</v>
      </c>
      <c r="D6" t="s">
        <v>226</v>
      </c>
      <c r="E6" t="s">
        <v>244</v>
      </c>
      <c r="L6">
        <v>4</v>
      </c>
      <c r="M6" t="s">
        <v>226</v>
      </c>
      <c r="N6" t="s">
        <v>137</v>
      </c>
      <c r="O6" t="s">
        <v>139</v>
      </c>
      <c r="P6" t="s">
        <v>141</v>
      </c>
      <c r="Q6" t="s">
        <v>143</v>
      </c>
      <c r="S6">
        <v>4</v>
      </c>
    </row>
    <row r="7" spans="2:19">
      <c r="B7">
        <v>3</v>
      </c>
      <c r="D7" t="s">
        <v>151</v>
      </c>
      <c r="E7" t="s">
        <v>244</v>
      </c>
      <c r="K7">
        <v>3</v>
      </c>
      <c r="M7" t="s">
        <v>151</v>
      </c>
      <c r="N7" t="s">
        <v>137</v>
      </c>
      <c r="O7" t="s">
        <v>139</v>
      </c>
      <c r="P7" t="s">
        <v>141</v>
      </c>
      <c r="Q7" t="s">
        <v>143</v>
      </c>
      <c r="S7">
        <v>4</v>
      </c>
    </row>
    <row r="8" spans="2:19">
      <c r="B8">
        <v>3</v>
      </c>
      <c r="D8" t="s">
        <v>227</v>
      </c>
      <c r="E8" t="s">
        <v>244</v>
      </c>
      <c r="K8">
        <v>4</v>
      </c>
      <c r="M8" t="s">
        <v>227</v>
      </c>
      <c r="N8" t="s">
        <v>145</v>
      </c>
      <c r="O8" t="s">
        <v>147</v>
      </c>
      <c r="S8">
        <v>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3:P166"/>
  <sheetViews>
    <sheetView topLeftCell="C1" zoomScale="70" zoomScaleNormal="70" workbookViewId="0">
      <selection activeCell="N17" sqref="N17"/>
    </sheetView>
  </sheetViews>
  <sheetFormatPr defaultRowHeight="13"/>
  <sheetData>
    <row r="3" spans="3:16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</row>
    <row r="4" spans="3:16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</row>
    <row r="5" spans="3:16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</row>
    <row r="6" spans="3:16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</row>
    <row r="7" spans="3:16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</row>
    <row r="8" spans="3:16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3:16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3:16">
      <c r="D11" t="s">
        <v>152</v>
      </c>
      <c r="E11" t="s">
        <v>66</v>
      </c>
      <c r="F11" t="s">
        <v>251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  <c r="L11" t="s">
        <v>515</v>
      </c>
      <c r="M11" t="s">
        <v>516</v>
      </c>
      <c r="N11" t="s">
        <v>517</v>
      </c>
    </row>
    <row r="12" spans="3:16">
      <c r="D12" t="s">
        <v>253</v>
      </c>
      <c r="E12">
        <v>5</v>
      </c>
      <c r="F12">
        <v>25</v>
      </c>
      <c r="G12">
        <v>2</v>
      </c>
      <c r="H12" t="s">
        <v>62</v>
      </c>
      <c r="I12" t="s">
        <v>252</v>
      </c>
      <c r="J12" t="s">
        <v>252</v>
      </c>
      <c r="K12" t="s">
        <v>252</v>
      </c>
      <c r="M12">
        <v>1.1000000000000001</v>
      </c>
      <c r="N12">
        <v>7.8</v>
      </c>
    </row>
    <row r="13" spans="3:16">
      <c r="E13">
        <v>4.5</v>
      </c>
      <c r="F13">
        <v>25</v>
      </c>
      <c r="G13">
        <v>2</v>
      </c>
      <c r="H13" t="s">
        <v>62</v>
      </c>
      <c r="I13" t="s">
        <v>252</v>
      </c>
      <c r="J13" t="s">
        <v>252</v>
      </c>
      <c r="K13" t="s">
        <v>252</v>
      </c>
      <c r="M13">
        <v>1.2</v>
      </c>
      <c r="N13">
        <v>7.6</v>
      </c>
    </row>
    <row r="14" spans="3:16">
      <c r="E14">
        <v>5.5</v>
      </c>
      <c r="F14">
        <v>25</v>
      </c>
      <c r="G14">
        <v>2</v>
      </c>
      <c r="H14" t="s">
        <v>62</v>
      </c>
      <c r="I14" t="s">
        <v>252</v>
      </c>
      <c r="J14" t="s">
        <v>252</v>
      </c>
      <c r="K14" t="s">
        <v>252</v>
      </c>
      <c r="M14">
        <v>1.3</v>
      </c>
      <c r="N14">
        <v>7.4</v>
      </c>
    </row>
    <row r="15" spans="3:16">
      <c r="E15">
        <v>5</v>
      </c>
      <c r="F15">
        <v>-40</v>
      </c>
      <c r="G15">
        <v>2</v>
      </c>
      <c r="H15" t="s">
        <v>62</v>
      </c>
      <c r="I15" t="s">
        <v>252</v>
      </c>
      <c r="J15" t="s">
        <v>252</v>
      </c>
      <c r="K15" t="s">
        <v>252</v>
      </c>
      <c r="M15">
        <v>1.4</v>
      </c>
      <c r="N15">
        <v>7.2</v>
      </c>
    </row>
    <row r="16" spans="3:16">
      <c r="E16">
        <v>4.5</v>
      </c>
      <c r="F16">
        <v>-40</v>
      </c>
      <c r="G16">
        <v>2</v>
      </c>
      <c r="H16" t="s">
        <v>62</v>
      </c>
      <c r="I16" t="s">
        <v>252</v>
      </c>
      <c r="J16" t="s">
        <v>252</v>
      </c>
      <c r="K16" t="s">
        <v>252</v>
      </c>
      <c r="M16">
        <v>1.5</v>
      </c>
      <c r="N16">
        <v>7</v>
      </c>
    </row>
    <row r="17" spans="5:14">
      <c r="E17">
        <v>5.5</v>
      </c>
      <c r="F17">
        <v>-40</v>
      </c>
      <c r="G17">
        <v>2</v>
      </c>
      <c r="H17" t="s">
        <v>62</v>
      </c>
      <c r="I17" t="s">
        <v>252</v>
      </c>
      <c r="J17" t="s">
        <v>252</v>
      </c>
      <c r="K17" t="s">
        <v>252</v>
      </c>
      <c r="M17">
        <v>1.6</v>
      </c>
      <c r="N17">
        <v>6.8</v>
      </c>
    </row>
    <row r="18" spans="5:14">
      <c r="E18">
        <v>5</v>
      </c>
      <c r="F18">
        <v>150</v>
      </c>
      <c r="G18">
        <v>2</v>
      </c>
      <c r="H18" t="s">
        <v>62</v>
      </c>
      <c r="I18" t="s">
        <v>252</v>
      </c>
      <c r="J18" t="s">
        <v>252</v>
      </c>
      <c r="K18" t="s">
        <v>252</v>
      </c>
      <c r="M18">
        <v>1.7</v>
      </c>
      <c r="N18">
        <v>6.6</v>
      </c>
    </row>
    <row r="19" spans="5:14">
      <c r="E19">
        <v>4.5</v>
      </c>
      <c r="F19">
        <v>150</v>
      </c>
      <c r="G19">
        <v>2</v>
      </c>
      <c r="H19" t="s">
        <v>62</v>
      </c>
      <c r="I19" t="s">
        <v>252</v>
      </c>
      <c r="J19" t="s">
        <v>252</v>
      </c>
      <c r="K19" t="s">
        <v>252</v>
      </c>
      <c r="M19">
        <v>1.8</v>
      </c>
      <c r="N19">
        <v>6.4</v>
      </c>
    </row>
    <row r="20" spans="5:14">
      <c r="E20">
        <v>5.5</v>
      </c>
      <c r="F20">
        <v>150</v>
      </c>
      <c r="G20">
        <v>2</v>
      </c>
      <c r="H20" t="s">
        <v>62</v>
      </c>
      <c r="I20" t="s">
        <v>252</v>
      </c>
      <c r="J20" t="s">
        <v>252</v>
      </c>
      <c r="K20" t="s">
        <v>252</v>
      </c>
      <c r="M20">
        <v>1.9</v>
      </c>
      <c r="N20">
        <v>6.2</v>
      </c>
    </row>
    <row r="21" spans="5:14">
      <c r="E21">
        <v>5</v>
      </c>
      <c r="F21">
        <v>25</v>
      </c>
      <c r="G21">
        <v>1.998</v>
      </c>
      <c r="H21" t="s">
        <v>62</v>
      </c>
      <c r="I21" t="s">
        <v>252</v>
      </c>
      <c r="J21" t="s">
        <v>252</v>
      </c>
      <c r="K21" t="s">
        <v>252</v>
      </c>
      <c r="M21">
        <v>2</v>
      </c>
      <c r="N21">
        <v>6</v>
      </c>
    </row>
    <row r="22" spans="5:14">
      <c r="E22">
        <v>4.5</v>
      </c>
      <c r="F22">
        <v>25</v>
      </c>
      <c r="G22">
        <v>1.998</v>
      </c>
      <c r="H22" t="s">
        <v>62</v>
      </c>
      <c r="I22" t="s">
        <v>252</v>
      </c>
      <c r="J22" t="s">
        <v>252</v>
      </c>
      <c r="K22" t="s">
        <v>252</v>
      </c>
      <c r="M22">
        <v>2.1</v>
      </c>
      <c r="N22">
        <v>5.8</v>
      </c>
    </row>
    <row r="23" spans="5:14">
      <c r="E23">
        <v>5.5</v>
      </c>
      <c r="F23">
        <v>25</v>
      </c>
      <c r="G23">
        <v>1.998</v>
      </c>
      <c r="H23" t="s">
        <v>62</v>
      </c>
      <c r="I23" t="s">
        <v>252</v>
      </c>
      <c r="J23" t="s">
        <v>252</v>
      </c>
      <c r="K23" t="s">
        <v>252</v>
      </c>
      <c r="M23">
        <v>2.2000000000000002</v>
      </c>
      <c r="N23">
        <v>5.6</v>
      </c>
    </row>
    <row r="24" spans="5:14">
      <c r="E24">
        <v>5</v>
      </c>
      <c r="F24">
        <v>-40</v>
      </c>
      <c r="G24">
        <v>1.998</v>
      </c>
      <c r="H24" t="s">
        <v>62</v>
      </c>
      <c r="I24" t="s">
        <v>252</v>
      </c>
      <c r="J24" t="s">
        <v>252</v>
      </c>
      <c r="K24" t="s">
        <v>252</v>
      </c>
      <c r="M24">
        <v>16.5</v>
      </c>
      <c r="N24">
        <v>5.4</v>
      </c>
    </row>
    <row r="25" spans="5:14">
      <c r="E25">
        <v>4.5</v>
      </c>
      <c r="F25">
        <v>-40</v>
      </c>
      <c r="G25">
        <v>1.998</v>
      </c>
      <c r="H25" t="s">
        <v>62</v>
      </c>
      <c r="I25" t="s">
        <v>252</v>
      </c>
      <c r="J25" t="s">
        <v>252</v>
      </c>
      <c r="K25" t="s">
        <v>252</v>
      </c>
      <c r="M25">
        <v>2.4</v>
      </c>
      <c r="N25">
        <v>5.2</v>
      </c>
    </row>
    <row r="26" spans="5:14">
      <c r="E26">
        <v>5.5</v>
      </c>
      <c r="F26">
        <v>-40</v>
      </c>
      <c r="G26">
        <v>1.998</v>
      </c>
      <c r="H26" t="s">
        <v>62</v>
      </c>
      <c r="I26" t="s">
        <v>252</v>
      </c>
      <c r="J26" t="s">
        <v>252</v>
      </c>
      <c r="K26" t="s">
        <v>252</v>
      </c>
      <c r="M26">
        <v>2.5</v>
      </c>
      <c r="N26">
        <v>5</v>
      </c>
    </row>
    <row r="27" spans="5:14">
      <c r="E27">
        <v>5</v>
      </c>
      <c r="F27">
        <v>150</v>
      </c>
      <c r="G27">
        <v>1.998</v>
      </c>
      <c r="H27" t="s">
        <v>62</v>
      </c>
      <c r="I27" t="s">
        <v>252</v>
      </c>
      <c r="J27" t="s">
        <v>252</v>
      </c>
      <c r="K27" t="s">
        <v>252</v>
      </c>
      <c r="M27">
        <v>2.6</v>
      </c>
      <c r="N27">
        <v>4.8</v>
      </c>
    </row>
    <row r="28" spans="5:14">
      <c r="E28">
        <v>4.5</v>
      </c>
      <c r="F28">
        <v>150</v>
      </c>
      <c r="G28">
        <v>1.998</v>
      </c>
      <c r="H28" t="s">
        <v>62</v>
      </c>
      <c r="I28" t="s">
        <v>252</v>
      </c>
      <c r="J28" t="s">
        <v>252</v>
      </c>
      <c r="K28" t="s">
        <v>252</v>
      </c>
      <c r="M28">
        <v>2.7</v>
      </c>
      <c r="N28">
        <v>4.5999999999999996</v>
      </c>
    </row>
    <row r="29" spans="5:14">
      <c r="E29">
        <v>5.5</v>
      </c>
      <c r="F29">
        <v>150</v>
      </c>
      <c r="G29">
        <v>1.998</v>
      </c>
      <c r="H29" t="s">
        <v>62</v>
      </c>
      <c r="I29" t="s">
        <v>252</v>
      </c>
      <c r="J29" t="s">
        <v>252</v>
      </c>
      <c r="K29" t="s">
        <v>252</v>
      </c>
      <c r="M29">
        <v>2.8</v>
      </c>
      <c r="N29">
        <v>4.4000000000000004</v>
      </c>
    </row>
    <row r="30" spans="5:14">
      <c r="E30">
        <v>5</v>
      </c>
      <c r="F30">
        <v>25</v>
      </c>
      <c r="G30">
        <v>2.0019999999999998</v>
      </c>
      <c r="H30" t="s">
        <v>62</v>
      </c>
      <c r="I30" t="s">
        <v>252</v>
      </c>
      <c r="J30" t="s">
        <v>252</v>
      </c>
      <c r="K30" t="s">
        <v>252</v>
      </c>
      <c r="M30">
        <v>2.9</v>
      </c>
      <c r="N30">
        <v>4.2</v>
      </c>
    </row>
    <row r="31" spans="5:14">
      <c r="E31">
        <v>4.5</v>
      </c>
      <c r="F31">
        <v>25</v>
      </c>
      <c r="G31">
        <v>2.0019999999999998</v>
      </c>
      <c r="H31" t="s">
        <v>62</v>
      </c>
      <c r="I31" t="s">
        <v>252</v>
      </c>
      <c r="J31" t="s">
        <v>252</v>
      </c>
      <c r="K31" t="s">
        <v>252</v>
      </c>
      <c r="M31">
        <v>3</v>
      </c>
      <c r="N31">
        <v>4</v>
      </c>
    </row>
    <row r="32" spans="5:14">
      <c r="E32">
        <v>5.5</v>
      </c>
      <c r="F32">
        <v>25</v>
      </c>
      <c r="G32">
        <v>2.0019999999999998</v>
      </c>
      <c r="H32" t="s">
        <v>62</v>
      </c>
      <c r="I32" t="s">
        <v>252</v>
      </c>
      <c r="J32" t="s">
        <v>252</v>
      </c>
      <c r="K32" t="s">
        <v>252</v>
      </c>
      <c r="M32">
        <v>3.1</v>
      </c>
      <c r="N32">
        <v>3.8</v>
      </c>
    </row>
    <row r="33" spans="4:14">
      <c r="E33">
        <v>5</v>
      </c>
      <c r="F33">
        <v>-40</v>
      </c>
      <c r="G33">
        <v>2.0019999999999998</v>
      </c>
      <c r="H33" t="s">
        <v>62</v>
      </c>
      <c r="I33" t="s">
        <v>252</v>
      </c>
      <c r="J33" t="s">
        <v>252</v>
      </c>
      <c r="K33" t="s">
        <v>252</v>
      </c>
      <c r="M33">
        <v>3.2</v>
      </c>
      <c r="N33">
        <v>3.6</v>
      </c>
    </row>
    <row r="34" spans="4:14">
      <c r="E34">
        <v>4.5</v>
      </c>
      <c r="F34">
        <v>-40</v>
      </c>
      <c r="G34">
        <v>2.0019999999999998</v>
      </c>
      <c r="H34" t="s">
        <v>62</v>
      </c>
      <c r="I34" t="s">
        <v>252</v>
      </c>
      <c r="J34" t="s">
        <v>252</v>
      </c>
      <c r="K34" t="s">
        <v>252</v>
      </c>
      <c r="M34">
        <v>3.3</v>
      </c>
      <c r="N34">
        <v>3.4</v>
      </c>
    </row>
    <row r="35" spans="4:14">
      <c r="E35">
        <v>5.5</v>
      </c>
      <c r="F35">
        <v>-40</v>
      </c>
      <c r="G35">
        <v>2.0019999999999998</v>
      </c>
      <c r="H35" t="s">
        <v>62</v>
      </c>
      <c r="I35" t="s">
        <v>252</v>
      </c>
      <c r="J35" t="s">
        <v>252</v>
      </c>
      <c r="K35" t="s">
        <v>252</v>
      </c>
      <c r="M35">
        <v>3.4</v>
      </c>
      <c r="N35">
        <v>3.2</v>
      </c>
    </row>
    <row r="36" spans="4:14">
      <c r="E36">
        <v>5</v>
      </c>
      <c r="F36">
        <v>150</v>
      </c>
      <c r="G36">
        <v>2.0019999999999998</v>
      </c>
      <c r="H36" t="s">
        <v>62</v>
      </c>
      <c r="I36" t="s">
        <v>252</v>
      </c>
      <c r="J36" t="s">
        <v>252</v>
      </c>
      <c r="K36" t="s">
        <v>252</v>
      </c>
      <c r="M36">
        <v>3.5</v>
      </c>
      <c r="N36">
        <v>-25</v>
      </c>
    </row>
    <row r="37" spans="4:14">
      <c r="E37">
        <v>4.5</v>
      </c>
      <c r="F37">
        <v>150</v>
      </c>
      <c r="G37">
        <v>2.0019999999999998</v>
      </c>
      <c r="H37" t="s">
        <v>62</v>
      </c>
      <c r="I37" t="s">
        <v>252</v>
      </c>
      <c r="J37" t="s">
        <v>252</v>
      </c>
      <c r="K37" t="s">
        <v>252</v>
      </c>
      <c r="M37">
        <v>3.6</v>
      </c>
      <c r="N37">
        <v>2.8</v>
      </c>
    </row>
    <row r="38" spans="4:14">
      <c r="E38">
        <v>5.5</v>
      </c>
      <c r="F38">
        <v>150</v>
      </c>
      <c r="G38">
        <v>2.0019999999999998</v>
      </c>
      <c r="H38" t="s">
        <v>62</v>
      </c>
      <c r="I38" t="s">
        <v>252</v>
      </c>
      <c r="J38" t="s">
        <v>252</v>
      </c>
      <c r="K38" t="s">
        <v>252</v>
      </c>
      <c r="M38">
        <v>3.7</v>
      </c>
      <c r="N38">
        <v>2.6</v>
      </c>
    </row>
    <row r="39" spans="4:14">
      <c r="D39" t="s">
        <v>228</v>
      </c>
      <c r="E39">
        <v>4.5</v>
      </c>
      <c r="F39">
        <v>-40</v>
      </c>
      <c r="G39">
        <v>1.998</v>
      </c>
      <c r="H39" t="s">
        <v>136</v>
      </c>
      <c r="I39" t="s">
        <v>136</v>
      </c>
      <c r="J39" t="s">
        <v>247</v>
      </c>
      <c r="K39" t="s">
        <v>245</v>
      </c>
      <c r="M39">
        <v>3.8</v>
      </c>
      <c r="N39">
        <v>2.4</v>
      </c>
    </row>
    <row r="40" spans="4:14">
      <c r="E40">
        <v>5.5</v>
      </c>
      <c r="F40">
        <v>-40</v>
      </c>
      <c r="G40">
        <v>1.998</v>
      </c>
      <c r="H40" t="s">
        <v>136</v>
      </c>
      <c r="I40" t="s">
        <v>136</v>
      </c>
      <c r="J40" t="s">
        <v>247</v>
      </c>
      <c r="K40" t="s">
        <v>245</v>
      </c>
      <c r="M40">
        <v>3.9</v>
      </c>
      <c r="N40">
        <v>2.2000000000000002</v>
      </c>
    </row>
    <row r="41" spans="4:14">
      <c r="E41">
        <v>4.5</v>
      </c>
      <c r="F41">
        <v>150</v>
      </c>
      <c r="G41">
        <v>1.998</v>
      </c>
      <c r="H41" t="s">
        <v>136</v>
      </c>
      <c r="I41" t="s">
        <v>136</v>
      </c>
      <c r="J41" t="s">
        <v>247</v>
      </c>
      <c r="K41" t="s">
        <v>245</v>
      </c>
      <c r="M41">
        <v>4</v>
      </c>
      <c r="N41">
        <v>1.99999999999999</v>
      </c>
    </row>
    <row r="42" spans="4:14">
      <c r="E42">
        <v>5.5</v>
      </c>
      <c r="F42">
        <v>150</v>
      </c>
      <c r="G42">
        <v>1.998</v>
      </c>
      <c r="H42" t="s">
        <v>136</v>
      </c>
      <c r="I42" t="s">
        <v>136</v>
      </c>
      <c r="J42" t="s">
        <v>247</v>
      </c>
      <c r="K42" t="s">
        <v>245</v>
      </c>
      <c r="M42">
        <v>4.0999999999999996</v>
      </c>
      <c r="N42">
        <v>1.7999999999999901</v>
      </c>
    </row>
    <row r="43" spans="4:14">
      <c r="E43">
        <v>4.5</v>
      </c>
      <c r="F43">
        <v>-40</v>
      </c>
      <c r="G43">
        <v>2.0019999999999998</v>
      </c>
      <c r="H43" t="s">
        <v>136</v>
      </c>
      <c r="I43" t="s">
        <v>136</v>
      </c>
      <c r="J43" t="s">
        <v>247</v>
      </c>
      <c r="K43" t="s">
        <v>245</v>
      </c>
      <c r="M43">
        <v>4.2</v>
      </c>
      <c r="N43">
        <v>1.5999999999999901</v>
      </c>
    </row>
    <row r="44" spans="4:14">
      <c r="E44">
        <v>5.5</v>
      </c>
      <c r="F44">
        <v>-40</v>
      </c>
      <c r="G44">
        <v>2.0019999999999998</v>
      </c>
      <c r="H44" t="s">
        <v>136</v>
      </c>
      <c r="I44" t="s">
        <v>136</v>
      </c>
      <c r="J44" t="s">
        <v>247</v>
      </c>
      <c r="K44" t="s">
        <v>245</v>
      </c>
      <c r="M44">
        <v>4.3</v>
      </c>
      <c r="N44">
        <v>1.3999999999999899</v>
      </c>
    </row>
    <row r="45" spans="4:14">
      <c r="E45">
        <v>4.5</v>
      </c>
      <c r="F45">
        <v>150</v>
      </c>
      <c r="G45">
        <v>2.0019999999999998</v>
      </c>
      <c r="H45" t="s">
        <v>136</v>
      </c>
      <c r="I45" t="s">
        <v>136</v>
      </c>
      <c r="J45" t="s">
        <v>247</v>
      </c>
      <c r="K45" t="s">
        <v>245</v>
      </c>
      <c r="M45">
        <v>4.4000000000000004</v>
      </c>
      <c r="N45">
        <v>1.19999999999999</v>
      </c>
    </row>
    <row r="46" spans="4:14">
      <c r="E46">
        <v>5.5</v>
      </c>
      <c r="F46">
        <v>150</v>
      </c>
      <c r="G46">
        <v>2.0019999999999998</v>
      </c>
      <c r="H46" t="s">
        <v>136</v>
      </c>
      <c r="I46" t="s">
        <v>136</v>
      </c>
      <c r="J46" t="s">
        <v>247</v>
      </c>
      <c r="K46" t="s">
        <v>245</v>
      </c>
      <c r="M46">
        <v>4.5</v>
      </c>
      <c r="N46">
        <v>0.99999999999999001</v>
      </c>
    </row>
    <row r="47" spans="4:14">
      <c r="D47" t="s">
        <v>229</v>
      </c>
      <c r="E47">
        <v>4.5</v>
      </c>
      <c r="F47">
        <v>-40</v>
      </c>
      <c r="G47">
        <v>1.998</v>
      </c>
      <c r="H47" t="s">
        <v>138</v>
      </c>
      <c r="I47" t="s">
        <v>136</v>
      </c>
      <c r="J47" t="s">
        <v>248</v>
      </c>
      <c r="K47" t="s">
        <v>245</v>
      </c>
      <c r="M47">
        <v>4.5999999999999996</v>
      </c>
      <c r="N47">
        <v>0.79999999999999005</v>
      </c>
    </row>
    <row r="48" spans="4:14">
      <c r="E48">
        <v>5.5</v>
      </c>
      <c r="F48">
        <v>-40</v>
      </c>
      <c r="G48">
        <v>1.998</v>
      </c>
      <c r="H48" t="s">
        <v>138</v>
      </c>
      <c r="I48" t="s">
        <v>136</v>
      </c>
      <c r="J48" t="s">
        <v>248</v>
      </c>
      <c r="K48" t="s">
        <v>245</v>
      </c>
      <c r="M48">
        <v>4.7</v>
      </c>
      <c r="N48">
        <v>0.59999999999998999</v>
      </c>
    </row>
    <row r="49" spans="4:14">
      <c r="E49">
        <v>4.5</v>
      </c>
      <c r="F49">
        <v>150</v>
      </c>
      <c r="G49">
        <v>1.998</v>
      </c>
      <c r="H49" t="s">
        <v>138</v>
      </c>
      <c r="I49" t="s">
        <v>136</v>
      </c>
      <c r="J49" t="s">
        <v>248</v>
      </c>
      <c r="K49" t="s">
        <v>245</v>
      </c>
      <c r="M49">
        <v>4.7999999999999901</v>
      </c>
      <c r="N49">
        <v>7.8</v>
      </c>
    </row>
    <row r="50" spans="4:14">
      <c r="E50">
        <v>5.5</v>
      </c>
      <c r="F50">
        <v>150</v>
      </c>
      <c r="G50">
        <v>1.998</v>
      </c>
      <c r="H50" t="s">
        <v>138</v>
      </c>
      <c r="I50" t="s">
        <v>136</v>
      </c>
      <c r="J50" t="s">
        <v>248</v>
      </c>
      <c r="K50" t="s">
        <v>245</v>
      </c>
      <c r="M50">
        <v>4.8999999999999897</v>
      </c>
      <c r="N50">
        <v>0.19999999999998999</v>
      </c>
    </row>
    <row r="51" spans="4:14">
      <c r="E51">
        <v>4.5</v>
      </c>
      <c r="F51">
        <v>-40</v>
      </c>
      <c r="G51">
        <v>2.0019999999999998</v>
      </c>
      <c r="H51" t="s">
        <v>138</v>
      </c>
      <c r="I51" t="s">
        <v>136</v>
      </c>
      <c r="J51" t="s">
        <v>248</v>
      </c>
      <c r="K51" t="s">
        <v>245</v>
      </c>
      <c r="M51">
        <v>5</v>
      </c>
      <c r="N51">
        <v>-25</v>
      </c>
    </row>
    <row r="52" spans="4:14">
      <c r="E52">
        <v>5.5</v>
      </c>
      <c r="F52">
        <v>-40</v>
      </c>
      <c r="G52">
        <v>2.0019999999999998</v>
      </c>
      <c r="H52" t="s">
        <v>138</v>
      </c>
      <c r="I52" t="s">
        <v>136</v>
      </c>
      <c r="J52" t="s">
        <v>248</v>
      </c>
      <c r="K52" t="s">
        <v>245</v>
      </c>
      <c r="M52">
        <v>5.0999999999999899</v>
      </c>
      <c r="N52">
        <v>-0.200000000000011</v>
      </c>
    </row>
    <row r="53" spans="4:14">
      <c r="E53">
        <v>4.5</v>
      </c>
      <c r="F53">
        <v>150</v>
      </c>
      <c r="G53">
        <v>2.0019999999999998</v>
      </c>
      <c r="H53" t="s">
        <v>138</v>
      </c>
      <c r="I53" t="s">
        <v>136</v>
      </c>
      <c r="J53" t="s">
        <v>248</v>
      </c>
      <c r="K53" t="s">
        <v>245</v>
      </c>
      <c r="M53">
        <v>5.1999999999999904</v>
      </c>
      <c r="N53">
        <v>-0.40000000000001001</v>
      </c>
    </row>
    <row r="54" spans="4:14">
      <c r="E54">
        <v>5.5</v>
      </c>
      <c r="F54">
        <v>150</v>
      </c>
      <c r="G54">
        <v>2.0019999999999998</v>
      </c>
      <c r="H54" t="s">
        <v>138</v>
      </c>
      <c r="I54" t="s">
        <v>136</v>
      </c>
      <c r="J54" t="s">
        <v>248</v>
      </c>
      <c r="K54" t="s">
        <v>245</v>
      </c>
      <c r="M54">
        <v>5.2999999999999901</v>
      </c>
      <c r="N54">
        <v>-0.60000000000000897</v>
      </c>
    </row>
    <row r="55" spans="4:14">
      <c r="D55" t="s">
        <v>230</v>
      </c>
      <c r="E55">
        <v>4.5</v>
      </c>
      <c r="F55">
        <v>-40</v>
      </c>
      <c r="G55">
        <v>1.998</v>
      </c>
      <c r="H55" t="s">
        <v>140</v>
      </c>
      <c r="I55" t="s">
        <v>136</v>
      </c>
      <c r="J55" t="s">
        <v>249</v>
      </c>
      <c r="K55" t="s">
        <v>245</v>
      </c>
      <c r="M55">
        <v>5.3999999999999897</v>
      </c>
      <c r="N55">
        <v>-0.80000000000001004</v>
      </c>
    </row>
    <row r="56" spans="4:14">
      <c r="E56">
        <v>5.5</v>
      </c>
      <c r="F56">
        <v>-40</v>
      </c>
      <c r="G56">
        <v>1.998</v>
      </c>
      <c r="H56" t="s">
        <v>140</v>
      </c>
      <c r="I56" t="s">
        <v>136</v>
      </c>
      <c r="J56" t="s">
        <v>249</v>
      </c>
      <c r="K56" t="s">
        <v>245</v>
      </c>
      <c r="M56">
        <v>5.4999999999999902</v>
      </c>
      <c r="N56">
        <v>-1.00000000000001</v>
      </c>
    </row>
    <row r="57" spans="4:14">
      <c r="E57">
        <v>4.5</v>
      </c>
      <c r="F57">
        <v>150</v>
      </c>
      <c r="G57">
        <v>1.998</v>
      </c>
      <c r="H57" t="s">
        <v>140</v>
      </c>
      <c r="I57" t="s">
        <v>136</v>
      </c>
      <c r="J57" t="s">
        <v>249</v>
      </c>
      <c r="K57" t="s">
        <v>245</v>
      </c>
      <c r="M57">
        <v>5.5999999999999899</v>
      </c>
      <c r="N57">
        <v>-1.2000000000000099</v>
      </c>
    </row>
    <row r="58" spans="4:14">
      <c r="E58">
        <v>5.5</v>
      </c>
      <c r="F58">
        <v>150</v>
      </c>
      <c r="G58">
        <v>1.998</v>
      </c>
      <c r="H58" t="s">
        <v>140</v>
      </c>
      <c r="I58" t="s">
        <v>136</v>
      </c>
      <c r="J58" t="s">
        <v>249</v>
      </c>
      <c r="K58" t="s">
        <v>245</v>
      </c>
      <c r="M58">
        <v>5.6999999999999904</v>
      </c>
      <c r="N58">
        <v>-1.4000000000000099</v>
      </c>
    </row>
    <row r="59" spans="4:14">
      <c r="E59">
        <v>4.5</v>
      </c>
      <c r="F59">
        <v>-40</v>
      </c>
      <c r="G59">
        <v>2.0019999999999998</v>
      </c>
      <c r="H59" t="s">
        <v>140</v>
      </c>
      <c r="I59" t="s">
        <v>136</v>
      </c>
      <c r="J59" t="s">
        <v>249</v>
      </c>
      <c r="K59" t="s">
        <v>245</v>
      </c>
      <c r="M59">
        <v>5.7999999999999901</v>
      </c>
      <c r="N59">
        <v>-1.6000000000000101</v>
      </c>
    </row>
    <row r="60" spans="4:14">
      <c r="E60">
        <v>5.5</v>
      </c>
      <c r="F60">
        <v>-40</v>
      </c>
      <c r="G60">
        <v>2.0019999999999998</v>
      </c>
      <c r="H60" t="s">
        <v>140</v>
      </c>
      <c r="I60" t="s">
        <v>136</v>
      </c>
      <c r="J60" t="s">
        <v>249</v>
      </c>
      <c r="K60" t="s">
        <v>245</v>
      </c>
      <c r="M60">
        <v>5.8999999999999897</v>
      </c>
      <c r="N60">
        <v>-1.80000000000001</v>
      </c>
    </row>
    <row r="61" spans="4:14">
      <c r="E61">
        <v>4.5</v>
      </c>
      <c r="F61">
        <v>150</v>
      </c>
      <c r="G61">
        <v>2.0019999999999998</v>
      </c>
      <c r="H61" t="s">
        <v>140</v>
      </c>
      <c r="I61" t="s">
        <v>136</v>
      </c>
      <c r="J61" t="s">
        <v>249</v>
      </c>
      <c r="K61" t="s">
        <v>245</v>
      </c>
      <c r="M61">
        <v>5.9999999999999902</v>
      </c>
      <c r="N61">
        <v>-2.0000000000000102</v>
      </c>
    </row>
    <row r="62" spans="4:14">
      <c r="E62">
        <v>5.5</v>
      </c>
      <c r="F62">
        <v>150</v>
      </c>
      <c r="G62">
        <v>2.0019999999999998</v>
      </c>
      <c r="H62" t="s">
        <v>140</v>
      </c>
      <c r="I62" t="s">
        <v>136</v>
      </c>
      <c r="J62" t="s">
        <v>249</v>
      </c>
      <c r="K62" t="s">
        <v>245</v>
      </c>
      <c r="M62">
        <v>6.0999999999999899</v>
      </c>
      <c r="N62">
        <v>-2.2000000000000002</v>
      </c>
    </row>
    <row r="63" spans="4:14">
      <c r="D63" t="s">
        <v>231</v>
      </c>
      <c r="E63">
        <v>4.5</v>
      </c>
      <c r="F63">
        <v>-40</v>
      </c>
      <c r="G63">
        <v>1.998</v>
      </c>
      <c r="H63" t="s">
        <v>142</v>
      </c>
      <c r="I63" t="s">
        <v>136</v>
      </c>
      <c r="J63" t="s">
        <v>250</v>
      </c>
      <c r="K63" t="s">
        <v>245</v>
      </c>
      <c r="M63">
        <v>6.1999999999999904</v>
      </c>
      <c r="N63">
        <v>-2.4</v>
      </c>
    </row>
    <row r="64" spans="4:14">
      <c r="E64">
        <v>5.5</v>
      </c>
      <c r="F64">
        <v>-40</v>
      </c>
      <c r="G64">
        <v>1.998</v>
      </c>
      <c r="H64" t="s">
        <v>142</v>
      </c>
      <c r="I64" t="s">
        <v>136</v>
      </c>
      <c r="J64" t="s">
        <v>250</v>
      </c>
      <c r="K64" t="s">
        <v>245</v>
      </c>
      <c r="M64">
        <v>6.2999999999999901</v>
      </c>
      <c r="N64">
        <v>-2.6</v>
      </c>
    </row>
    <row r="65" spans="4:14">
      <c r="E65">
        <v>4.5</v>
      </c>
      <c r="F65">
        <v>150</v>
      </c>
      <c r="G65">
        <v>1.998</v>
      </c>
      <c r="H65" t="s">
        <v>142</v>
      </c>
      <c r="I65" t="s">
        <v>136</v>
      </c>
      <c r="J65" t="s">
        <v>250</v>
      </c>
      <c r="K65" t="s">
        <v>245</v>
      </c>
      <c r="M65">
        <v>6.3999999999999897</v>
      </c>
      <c r="N65">
        <v>-2.8</v>
      </c>
    </row>
    <row r="66" spans="4:14">
      <c r="E66">
        <v>5.5</v>
      </c>
      <c r="F66">
        <v>150</v>
      </c>
      <c r="G66">
        <v>1.998</v>
      </c>
      <c r="H66" t="s">
        <v>142</v>
      </c>
      <c r="I66" t="s">
        <v>136</v>
      </c>
      <c r="J66" t="s">
        <v>250</v>
      </c>
      <c r="K66" t="s">
        <v>245</v>
      </c>
      <c r="M66">
        <v>6.4999999999999902</v>
      </c>
      <c r="N66">
        <v>-3</v>
      </c>
    </row>
    <row r="67" spans="4:14">
      <c r="E67">
        <v>4.5</v>
      </c>
      <c r="F67">
        <v>-40</v>
      </c>
      <c r="G67">
        <v>2.0019999999999998</v>
      </c>
      <c r="H67" t="s">
        <v>142</v>
      </c>
      <c r="I67" t="s">
        <v>136</v>
      </c>
      <c r="J67" t="s">
        <v>250</v>
      </c>
      <c r="K67" t="s">
        <v>245</v>
      </c>
      <c r="M67">
        <v>6.5999999999999899</v>
      </c>
      <c r="N67">
        <v>-3.2</v>
      </c>
    </row>
    <row r="68" spans="4:14">
      <c r="E68">
        <v>5.5</v>
      </c>
      <c r="F68">
        <v>-40</v>
      </c>
      <c r="G68">
        <v>2.0019999999999998</v>
      </c>
      <c r="H68" t="s">
        <v>142</v>
      </c>
      <c r="I68" t="s">
        <v>136</v>
      </c>
      <c r="J68" t="s">
        <v>250</v>
      </c>
      <c r="K68" t="s">
        <v>245</v>
      </c>
      <c r="M68">
        <v>6.6999999999999904</v>
      </c>
      <c r="N68">
        <v>-3.4</v>
      </c>
    </row>
    <row r="69" spans="4:14">
      <c r="E69">
        <v>4.5</v>
      </c>
      <c r="F69">
        <v>150</v>
      </c>
      <c r="G69">
        <v>2.0019999999999998</v>
      </c>
      <c r="H69" t="s">
        <v>142</v>
      </c>
      <c r="I69" t="s">
        <v>136</v>
      </c>
      <c r="J69" t="s">
        <v>250</v>
      </c>
      <c r="K69" t="s">
        <v>245</v>
      </c>
      <c r="M69">
        <v>6.7999999999999901</v>
      </c>
      <c r="N69">
        <v>-3.6</v>
      </c>
    </row>
    <row r="70" spans="4:14">
      <c r="E70">
        <v>5.5</v>
      </c>
      <c r="F70">
        <v>150</v>
      </c>
      <c r="G70">
        <v>2.0019999999999998</v>
      </c>
      <c r="H70" t="s">
        <v>142</v>
      </c>
      <c r="I70" t="s">
        <v>136</v>
      </c>
      <c r="J70" t="s">
        <v>250</v>
      </c>
      <c r="K70" t="s">
        <v>245</v>
      </c>
      <c r="M70">
        <v>6.8999999999999897</v>
      </c>
      <c r="N70">
        <v>-3.8</v>
      </c>
    </row>
    <row r="71" spans="4:14">
      <c r="D71" t="s">
        <v>232</v>
      </c>
      <c r="E71">
        <v>4.5</v>
      </c>
      <c r="F71">
        <v>-40</v>
      </c>
      <c r="G71">
        <v>1.998</v>
      </c>
      <c r="H71" t="s">
        <v>136</v>
      </c>
      <c r="I71" t="s">
        <v>138</v>
      </c>
      <c r="J71" t="s">
        <v>247</v>
      </c>
      <c r="K71" t="s">
        <v>245</v>
      </c>
      <c r="M71">
        <v>6.9999999999999902</v>
      </c>
      <c r="N71">
        <v>-4</v>
      </c>
    </row>
    <row r="72" spans="4:14">
      <c r="E72">
        <v>5.5</v>
      </c>
      <c r="F72">
        <v>-40</v>
      </c>
      <c r="G72">
        <v>1.998</v>
      </c>
      <c r="H72" t="s">
        <v>136</v>
      </c>
      <c r="I72" t="s">
        <v>138</v>
      </c>
      <c r="J72" t="s">
        <v>247</v>
      </c>
      <c r="K72" t="s">
        <v>245</v>
      </c>
      <c r="M72">
        <v>7.0999999999999899</v>
      </c>
      <c r="N72">
        <v>-4.2</v>
      </c>
    </row>
    <row r="73" spans="4:14">
      <c r="E73">
        <v>4.5</v>
      </c>
      <c r="F73">
        <v>150</v>
      </c>
      <c r="G73">
        <v>1.998</v>
      </c>
      <c r="H73" t="s">
        <v>136</v>
      </c>
      <c r="I73" t="s">
        <v>138</v>
      </c>
      <c r="J73" t="s">
        <v>247</v>
      </c>
      <c r="K73" t="s">
        <v>245</v>
      </c>
      <c r="M73">
        <v>7.1999999999999904</v>
      </c>
      <c r="N73">
        <v>-4.4000000000000004</v>
      </c>
    </row>
    <row r="74" spans="4:14">
      <c r="E74">
        <v>5.5</v>
      </c>
      <c r="F74">
        <v>150</v>
      </c>
      <c r="G74">
        <v>1.998</v>
      </c>
      <c r="H74" t="s">
        <v>136</v>
      </c>
      <c r="I74" t="s">
        <v>138</v>
      </c>
      <c r="J74" t="s">
        <v>247</v>
      </c>
      <c r="K74" t="s">
        <v>245</v>
      </c>
      <c r="M74">
        <v>7.2999999999999901</v>
      </c>
      <c r="N74">
        <v>-4.5999999999999996</v>
      </c>
    </row>
    <row r="75" spans="4:14">
      <c r="E75">
        <v>4.5</v>
      </c>
      <c r="F75">
        <v>-40</v>
      </c>
      <c r="G75">
        <v>2.0019999999999998</v>
      </c>
      <c r="H75" t="s">
        <v>136</v>
      </c>
      <c r="I75" t="s">
        <v>138</v>
      </c>
      <c r="J75" t="s">
        <v>247</v>
      </c>
      <c r="K75" t="s">
        <v>245</v>
      </c>
      <c r="M75">
        <v>7.3999999999999897</v>
      </c>
      <c r="N75">
        <v>-4.8</v>
      </c>
    </row>
    <row r="76" spans="4:14">
      <c r="E76">
        <v>5.5</v>
      </c>
      <c r="F76">
        <v>-40</v>
      </c>
      <c r="G76">
        <v>2.0019999999999998</v>
      </c>
      <c r="H76" t="s">
        <v>136</v>
      </c>
      <c r="I76" t="s">
        <v>138</v>
      </c>
      <c r="J76" t="s">
        <v>247</v>
      </c>
      <c r="K76" t="s">
        <v>245</v>
      </c>
      <c r="M76">
        <v>7.4999999999999902</v>
      </c>
      <c r="N76">
        <v>-5</v>
      </c>
    </row>
    <row r="77" spans="4:14">
      <c r="E77">
        <v>4.5</v>
      </c>
      <c r="F77">
        <v>150</v>
      </c>
      <c r="G77">
        <v>2.0019999999999998</v>
      </c>
      <c r="H77" t="s">
        <v>136</v>
      </c>
      <c r="I77" t="s">
        <v>138</v>
      </c>
      <c r="J77" t="s">
        <v>247</v>
      </c>
      <c r="K77" t="s">
        <v>245</v>
      </c>
      <c r="M77">
        <v>7.5999999999999899</v>
      </c>
      <c r="N77">
        <v>-5.2</v>
      </c>
    </row>
    <row r="78" spans="4:14">
      <c r="E78">
        <v>5.5</v>
      </c>
      <c r="F78">
        <v>150</v>
      </c>
      <c r="G78">
        <v>2.0019999999999998</v>
      </c>
      <c r="H78" t="s">
        <v>136</v>
      </c>
      <c r="I78" t="s">
        <v>138</v>
      </c>
      <c r="J78" t="s">
        <v>247</v>
      </c>
      <c r="K78" t="s">
        <v>245</v>
      </c>
      <c r="M78">
        <v>7.6999999999999904</v>
      </c>
      <c r="N78">
        <v>-5.4</v>
      </c>
    </row>
    <row r="79" spans="4:14">
      <c r="D79" t="s">
        <v>233</v>
      </c>
      <c r="E79">
        <v>4.5</v>
      </c>
      <c r="F79">
        <v>-40</v>
      </c>
      <c r="G79">
        <v>1.998</v>
      </c>
      <c r="H79" t="s">
        <v>138</v>
      </c>
      <c r="I79" t="s">
        <v>138</v>
      </c>
      <c r="J79" t="s">
        <v>248</v>
      </c>
      <c r="K79" t="s">
        <v>245</v>
      </c>
      <c r="M79">
        <v>7.7999999999999901</v>
      </c>
      <c r="N79">
        <v>-5.6</v>
      </c>
    </row>
    <row r="80" spans="4:14">
      <c r="E80">
        <v>5.5</v>
      </c>
      <c r="F80">
        <v>-40</v>
      </c>
      <c r="G80">
        <v>1.998</v>
      </c>
      <c r="H80" t="s">
        <v>138</v>
      </c>
      <c r="I80" t="s">
        <v>138</v>
      </c>
      <c r="J80" t="s">
        <v>248</v>
      </c>
      <c r="K80" t="s">
        <v>245</v>
      </c>
      <c r="M80">
        <v>7.8999999999999897</v>
      </c>
      <c r="N80">
        <v>-5.8</v>
      </c>
    </row>
    <row r="81" spans="4:14">
      <c r="E81">
        <v>4.5</v>
      </c>
      <c r="F81">
        <v>150</v>
      </c>
      <c r="G81">
        <v>1.998</v>
      </c>
      <c r="H81" t="s">
        <v>138</v>
      </c>
      <c r="I81" t="s">
        <v>138</v>
      </c>
      <c r="J81" t="s">
        <v>248</v>
      </c>
      <c r="K81" t="s">
        <v>245</v>
      </c>
      <c r="M81">
        <v>7.9999999999999902</v>
      </c>
      <c r="N81">
        <v>-6</v>
      </c>
    </row>
    <row r="82" spans="4:14">
      <c r="E82">
        <v>5.5</v>
      </c>
      <c r="F82">
        <v>150</v>
      </c>
      <c r="G82">
        <v>1.998</v>
      </c>
      <c r="H82" t="s">
        <v>138</v>
      </c>
      <c r="I82" t="s">
        <v>138</v>
      </c>
      <c r="J82" t="s">
        <v>248</v>
      </c>
      <c r="K82" t="s">
        <v>245</v>
      </c>
      <c r="M82">
        <v>8.0999999999999908</v>
      </c>
      <c r="N82">
        <v>-6.2</v>
      </c>
    </row>
    <row r="83" spans="4:14">
      <c r="E83">
        <v>4.5</v>
      </c>
      <c r="F83">
        <v>-40</v>
      </c>
      <c r="G83">
        <v>2.0019999999999998</v>
      </c>
      <c r="H83" t="s">
        <v>138</v>
      </c>
      <c r="I83" t="s">
        <v>138</v>
      </c>
      <c r="J83" t="s">
        <v>248</v>
      </c>
      <c r="K83" t="s">
        <v>245</v>
      </c>
      <c r="M83">
        <v>8.1999999999999904</v>
      </c>
      <c r="N83">
        <v>-6.4</v>
      </c>
    </row>
    <row r="84" spans="4:14">
      <c r="E84">
        <v>5.5</v>
      </c>
      <c r="F84">
        <v>-40</v>
      </c>
      <c r="G84">
        <v>2.0019999999999998</v>
      </c>
      <c r="H84" t="s">
        <v>138</v>
      </c>
      <c r="I84" t="s">
        <v>138</v>
      </c>
      <c r="J84" t="s">
        <v>248</v>
      </c>
      <c r="K84" t="s">
        <v>245</v>
      </c>
      <c r="M84">
        <v>8.2999999999999901</v>
      </c>
      <c r="N84">
        <v>-6.6</v>
      </c>
    </row>
    <row r="85" spans="4:14">
      <c r="E85">
        <v>4.5</v>
      </c>
      <c r="F85">
        <v>150</v>
      </c>
      <c r="G85">
        <v>2.0019999999999998</v>
      </c>
      <c r="H85" t="s">
        <v>138</v>
      </c>
      <c r="I85" t="s">
        <v>138</v>
      </c>
      <c r="J85" t="s">
        <v>248</v>
      </c>
      <c r="K85" t="s">
        <v>245</v>
      </c>
      <c r="M85">
        <v>8.3999999999999897</v>
      </c>
      <c r="N85">
        <v>-6.8</v>
      </c>
    </row>
    <row r="86" spans="4:14">
      <c r="E86">
        <v>5.5</v>
      </c>
      <c r="F86">
        <v>150</v>
      </c>
      <c r="G86">
        <v>2.0019999999999998</v>
      </c>
      <c r="H86" t="s">
        <v>138</v>
      </c>
      <c r="I86" t="s">
        <v>138</v>
      </c>
      <c r="J86" t="s">
        <v>248</v>
      </c>
      <c r="K86" t="s">
        <v>245</v>
      </c>
      <c r="M86">
        <v>8.4999999999999893</v>
      </c>
      <c r="N86">
        <v>-7</v>
      </c>
    </row>
    <row r="87" spans="4:14">
      <c r="D87" t="s">
        <v>234</v>
      </c>
      <c r="E87">
        <v>4.5</v>
      </c>
      <c r="F87">
        <v>-40</v>
      </c>
      <c r="G87">
        <v>1.998</v>
      </c>
      <c r="H87" t="s">
        <v>140</v>
      </c>
      <c r="I87" t="s">
        <v>138</v>
      </c>
      <c r="J87" t="s">
        <v>249</v>
      </c>
      <c r="K87" t="s">
        <v>245</v>
      </c>
      <c r="M87">
        <v>8.5999999999999908</v>
      </c>
      <c r="N87">
        <v>-7.2</v>
      </c>
    </row>
    <row r="88" spans="4:14">
      <c r="E88">
        <v>5.5</v>
      </c>
      <c r="F88">
        <v>-40</v>
      </c>
      <c r="G88">
        <v>1.998</v>
      </c>
      <c r="H88" t="s">
        <v>140</v>
      </c>
      <c r="I88" t="s">
        <v>138</v>
      </c>
      <c r="J88" t="s">
        <v>249</v>
      </c>
      <c r="K88" t="s">
        <v>245</v>
      </c>
      <c r="M88">
        <v>8.6999999999999904</v>
      </c>
      <c r="N88">
        <v>-7.4</v>
      </c>
    </row>
    <row r="89" spans="4:14">
      <c r="E89">
        <v>4.5</v>
      </c>
      <c r="F89">
        <v>150</v>
      </c>
      <c r="G89">
        <v>1.998</v>
      </c>
      <c r="H89" t="s">
        <v>140</v>
      </c>
      <c r="I89" t="s">
        <v>138</v>
      </c>
      <c r="J89" t="s">
        <v>249</v>
      </c>
      <c r="K89" t="s">
        <v>245</v>
      </c>
      <c r="M89">
        <v>8.7999999999999901</v>
      </c>
      <c r="N89">
        <v>-7.6</v>
      </c>
    </row>
    <row r="90" spans="4:14">
      <c r="E90">
        <v>5.5</v>
      </c>
      <c r="F90">
        <v>150</v>
      </c>
      <c r="G90">
        <v>1.998</v>
      </c>
      <c r="H90" t="s">
        <v>140</v>
      </c>
      <c r="I90" t="s">
        <v>138</v>
      </c>
      <c r="J90" t="s">
        <v>249</v>
      </c>
      <c r="K90" t="s">
        <v>245</v>
      </c>
      <c r="M90">
        <v>8.8999999999999897</v>
      </c>
      <c r="N90">
        <v>-7.8</v>
      </c>
    </row>
    <row r="91" spans="4:14">
      <c r="E91">
        <v>4.5</v>
      </c>
      <c r="F91">
        <v>-40</v>
      </c>
      <c r="G91">
        <v>2.0019999999999998</v>
      </c>
      <c r="H91" t="s">
        <v>140</v>
      </c>
      <c r="I91" t="s">
        <v>138</v>
      </c>
      <c r="J91" t="s">
        <v>249</v>
      </c>
      <c r="K91" t="s">
        <v>245</v>
      </c>
      <c r="M91">
        <v>8.9999999999999893</v>
      </c>
      <c r="N91">
        <v>-8</v>
      </c>
    </row>
    <row r="92" spans="4:14">
      <c r="E92">
        <v>5.5</v>
      </c>
      <c r="F92">
        <v>-40</v>
      </c>
      <c r="G92">
        <v>2.0019999999999998</v>
      </c>
      <c r="H92" t="s">
        <v>140</v>
      </c>
      <c r="I92" t="s">
        <v>138</v>
      </c>
      <c r="J92" t="s">
        <v>249</v>
      </c>
      <c r="K92" t="s">
        <v>245</v>
      </c>
      <c r="M92">
        <v>9.0999999999999908</v>
      </c>
      <c r="N92">
        <v>-8.1999999999999993</v>
      </c>
    </row>
    <row r="93" spans="4:14">
      <c r="E93">
        <v>4.5</v>
      </c>
      <c r="F93">
        <v>150</v>
      </c>
      <c r="G93">
        <v>2.0019999999999998</v>
      </c>
      <c r="H93" t="s">
        <v>140</v>
      </c>
      <c r="I93" t="s">
        <v>138</v>
      </c>
      <c r="J93" t="s">
        <v>249</v>
      </c>
      <c r="K93" t="s">
        <v>245</v>
      </c>
      <c r="M93">
        <v>9.1999999999999904</v>
      </c>
      <c r="N93">
        <v>-8.4</v>
      </c>
    </row>
    <row r="94" spans="4:14">
      <c r="E94">
        <v>5.5</v>
      </c>
      <c r="F94">
        <v>150</v>
      </c>
      <c r="G94">
        <v>2.0019999999999998</v>
      </c>
      <c r="H94" t="s">
        <v>140</v>
      </c>
      <c r="I94" t="s">
        <v>138</v>
      </c>
      <c r="J94" t="s">
        <v>249</v>
      </c>
      <c r="K94" t="s">
        <v>245</v>
      </c>
      <c r="M94">
        <v>9.2999999999999901</v>
      </c>
      <c r="N94">
        <v>-8.6</v>
      </c>
    </row>
    <row r="95" spans="4:14">
      <c r="D95" t="s">
        <v>235</v>
      </c>
      <c r="E95">
        <v>4.5</v>
      </c>
      <c r="F95">
        <v>-40</v>
      </c>
      <c r="G95">
        <v>1.998</v>
      </c>
      <c r="H95" t="s">
        <v>142</v>
      </c>
      <c r="I95" t="s">
        <v>138</v>
      </c>
      <c r="J95" t="s">
        <v>250</v>
      </c>
      <c r="K95" t="s">
        <v>245</v>
      </c>
      <c r="M95">
        <v>9.3999999999999897</v>
      </c>
      <c r="N95">
        <v>-8.8000000000000007</v>
      </c>
    </row>
    <row r="96" spans="4:14">
      <c r="E96">
        <v>5.5</v>
      </c>
      <c r="F96">
        <v>-40</v>
      </c>
      <c r="G96">
        <v>1.998</v>
      </c>
      <c r="H96" t="s">
        <v>142</v>
      </c>
      <c r="I96" t="s">
        <v>138</v>
      </c>
      <c r="J96" t="s">
        <v>250</v>
      </c>
      <c r="K96" t="s">
        <v>245</v>
      </c>
      <c r="M96">
        <v>9.4999999999999893</v>
      </c>
      <c r="N96">
        <v>-9</v>
      </c>
    </row>
    <row r="97" spans="4:14">
      <c r="E97">
        <v>4.5</v>
      </c>
      <c r="F97">
        <v>150</v>
      </c>
      <c r="G97">
        <v>1.998</v>
      </c>
      <c r="H97" t="s">
        <v>142</v>
      </c>
      <c r="I97" t="s">
        <v>138</v>
      </c>
      <c r="J97" t="s">
        <v>250</v>
      </c>
      <c r="K97" t="s">
        <v>245</v>
      </c>
      <c r="M97">
        <v>9.5999999999999908</v>
      </c>
      <c r="N97">
        <v>-9.1999999999999993</v>
      </c>
    </row>
    <row r="98" spans="4:14">
      <c r="E98">
        <v>5.5</v>
      </c>
      <c r="F98">
        <v>150</v>
      </c>
      <c r="G98">
        <v>1.998</v>
      </c>
      <c r="H98" t="s">
        <v>142</v>
      </c>
      <c r="I98" t="s">
        <v>138</v>
      </c>
      <c r="J98" t="s">
        <v>250</v>
      </c>
      <c r="K98" t="s">
        <v>245</v>
      </c>
      <c r="M98">
        <v>9.6999999999999904</v>
      </c>
      <c r="N98">
        <v>-9.4</v>
      </c>
    </row>
    <row r="99" spans="4:14">
      <c r="E99">
        <v>4.5</v>
      </c>
      <c r="F99">
        <v>-40</v>
      </c>
      <c r="G99">
        <v>2.0019999999999998</v>
      </c>
      <c r="H99" t="s">
        <v>142</v>
      </c>
      <c r="I99" t="s">
        <v>138</v>
      </c>
      <c r="J99" t="s">
        <v>250</v>
      </c>
      <c r="K99" t="s">
        <v>245</v>
      </c>
      <c r="M99">
        <v>9.7999999999999901</v>
      </c>
      <c r="N99">
        <v>-9.6</v>
      </c>
    </row>
    <row r="100" spans="4:14">
      <c r="E100">
        <v>5.5</v>
      </c>
      <c r="F100">
        <v>-40</v>
      </c>
      <c r="G100">
        <v>2.0019999999999998</v>
      </c>
      <c r="H100" t="s">
        <v>142</v>
      </c>
      <c r="I100" t="s">
        <v>138</v>
      </c>
      <c r="J100" t="s">
        <v>250</v>
      </c>
      <c r="K100" t="s">
        <v>245</v>
      </c>
      <c r="M100">
        <v>9.8999999999999897</v>
      </c>
      <c r="N100">
        <v>-9.8000000000000007</v>
      </c>
    </row>
    <row r="101" spans="4:14">
      <c r="E101">
        <v>4.5</v>
      </c>
      <c r="F101">
        <v>150</v>
      </c>
      <c r="G101">
        <v>2.0019999999999998</v>
      </c>
      <c r="H101" t="s">
        <v>142</v>
      </c>
      <c r="I101" t="s">
        <v>138</v>
      </c>
      <c r="J101" t="s">
        <v>250</v>
      </c>
      <c r="K101" t="s">
        <v>245</v>
      </c>
      <c r="M101">
        <v>9.9999999999999893</v>
      </c>
      <c r="N101">
        <v>-10</v>
      </c>
    </row>
    <row r="102" spans="4:14">
      <c r="E102">
        <v>5.5</v>
      </c>
      <c r="F102">
        <v>150</v>
      </c>
      <c r="G102">
        <v>2.0019999999999998</v>
      </c>
      <c r="H102" t="s">
        <v>142</v>
      </c>
      <c r="I102" t="s">
        <v>138</v>
      </c>
      <c r="J102" t="s">
        <v>250</v>
      </c>
      <c r="K102" t="s">
        <v>245</v>
      </c>
      <c r="M102">
        <v>10.1</v>
      </c>
      <c r="N102">
        <v>-10.199999999999999</v>
      </c>
    </row>
    <row r="103" spans="4:14">
      <c r="D103" t="s">
        <v>236</v>
      </c>
      <c r="E103">
        <v>4.5</v>
      </c>
      <c r="F103">
        <v>-40</v>
      </c>
      <c r="G103">
        <v>1.998</v>
      </c>
      <c r="H103" t="s">
        <v>136</v>
      </c>
      <c r="I103" t="s">
        <v>140</v>
      </c>
      <c r="J103" t="s">
        <v>247</v>
      </c>
      <c r="K103" t="s">
        <v>246</v>
      </c>
      <c r="M103">
        <v>10.199999999999999</v>
      </c>
      <c r="N103">
        <v>-10.4</v>
      </c>
    </row>
    <row r="104" spans="4:14">
      <c r="E104">
        <v>5.5</v>
      </c>
      <c r="F104">
        <v>-40</v>
      </c>
      <c r="G104">
        <v>1.998</v>
      </c>
      <c r="H104" t="s">
        <v>136</v>
      </c>
      <c r="I104" t="s">
        <v>140</v>
      </c>
      <c r="J104" t="s">
        <v>247</v>
      </c>
      <c r="K104" t="s">
        <v>246</v>
      </c>
      <c r="M104">
        <v>10.3</v>
      </c>
      <c r="N104">
        <v>-10.6</v>
      </c>
    </row>
    <row r="105" spans="4:14">
      <c r="E105">
        <v>4.5</v>
      </c>
      <c r="F105">
        <v>150</v>
      </c>
      <c r="G105">
        <v>1.998</v>
      </c>
      <c r="H105" t="s">
        <v>136</v>
      </c>
      <c r="I105" t="s">
        <v>140</v>
      </c>
      <c r="J105" t="s">
        <v>247</v>
      </c>
      <c r="K105" t="s">
        <v>246</v>
      </c>
      <c r="M105">
        <v>10.4</v>
      </c>
      <c r="N105">
        <v>-10.8</v>
      </c>
    </row>
    <row r="106" spans="4:14">
      <c r="E106">
        <v>5.5</v>
      </c>
      <c r="F106">
        <v>150</v>
      </c>
      <c r="G106">
        <v>1.998</v>
      </c>
      <c r="H106" t="s">
        <v>136</v>
      </c>
      <c r="I106" t="s">
        <v>140</v>
      </c>
      <c r="J106" t="s">
        <v>247</v>
      </c>
      <c r="K106" t="s">
        <v>246</v>
      </c>
      <c r="M106">
        <v>10.5</v>
      </c>
      <c r="N106">
        <v>-11</v>
      </c>
    </row>
    <row r="107" spans="4:14">
      <c r="E107">
        <v>4.5</v>
      </c>
      <c r="F107">
        <v>-40</v>
      </c>
      <c r="G107">
        <v>2.0019999999999998</v>
      </c>
      <c r="H107" t="s">
        <v>136</v>
      </c>
      <c r="I107" t="s">
        <v>140</v>
      </c>
      <c r="J107" t="s">
        <v>247</v>
      </c>
      <c r="K107" t="s">
        <v>246</v>
      </c>
      <c r="M107">
        <v>10.6</v>
      </c>
      <c r="N107">
        <v>-11.2</v>
      </c>
    </row>
    <row r="108" spans="4:14">
      <c r="E108">
        <v>5.5</v>
      </c>
      <c r="F108">
        <v>-40</v>
      </c>
      <c r="G108">
        <v>2.0019999999999998</v>
      </c>
      <c r="H108" t="s">
        <v>136</v>
      </c>
      <c r="I108" t="s">
        <v>140</v>
      </c>
      <c r="J108" t="s">
        <v>247</v>
      </c>
      <c r="K108" t="s">
        <v>246</v>
      </c>
      <c r="M108">
        <v>10.7</v>
      </c>
      <c r="N108">
        <v>-11.4</v>
      </c>
    </row>
    <row r="109" spans="4:14">
      <c r="E109">
        <v>4.5</v>
      </c>
      <c r="F109">
        <v>150</v>
      </c>
      <c r="G109">
        <v>2.0019999999999998</v>
      </c>
      <c r="H109" t="s">
        <v>136</v>
      </c>
      <c r="I109" t="s">
        <v>140</v>
      </c>
      <c r="J109" t="s">
        <v>247</v>
      </c>
      <c r="K109" t="s">
        <v>246</v>
      </c>
      <c r="M109">
        <v>10.8</v>
      </c>
      <c r="N109">
        <v>-11.6</v>
      </c>
    </row>
    <row r="110" spans="4:14">
      <c r="E110">
        <v>5.5</v>
      </c>
      <c r="F110">
        <v>150</v>
      </c>
      <c r="G110">
        <v>2.0019999999999998</v>
      </c>
      <c r="H110" t="s">
        <v>136</v>
      </c>
      <c r="I110" t="s">
        <v>140</v>
      </c>
      <c r="J110" t="s">
        <v>247</v>
      </c>
      <c r="K110" t="s">
        <v>246</v>
      </c>
      <c r="M110">
        <v>10.9</v>
      </c>
      <c r="N110">
        <v>-11.8</v>
      </c>
    </row>
    <row r="111" spans="4:14">
      <c r="D111" t="s">
        <v>237</v>
      </c>
      <c r="E111">
        <v>4.5</v>
      </c>
      <c r="F111">
        <v>-40</v>
      </c>
      <c r="G111">
        <v>1.998</v>
      </c>
      <c r="H111" t="s">
        <v>138</v>
      </c>
      <c r="I111" t="s">
        <v>140</v>
      </c>
      <c r="J111" t="s">
        <v>248</v>
      </c>
      <c r="K111" t="s">
        <v>246</v>
      </c>
      <c r="M111">
        <v>11</v>
      </c>
      <c r="N111">
        <v>-12</v>
      </c>
    </row>
    <row r="112" spans="4:14">
      <c r="E112">
        <v>5.5</v>
      </c>
      <c r="F112">
        <v>-40</v>
      </c>
      <c r="G112">
        <v>1.998</v>
      </c>
      <c r="H112" t="s">
        <v>138</v>
      </c>
      <c r="I112" t="s">
        <v>140</v>
      </c>
      <c r="J112" t="s">
        <v>248</v>
      </c>
      <c r="K112" t="s">
        <v>246</v>
      </c>
      <c r="M112">
        <v>11.1</v>
      </c>
      <c r="N112">
        <v>-12.2</v>
      </c>
    </row>
    <row r="113" spans="4:14">
      <c r="E113">
        <v>4.5</v>
      </c>
      <c r="F113">
        <v>150</v>
      </c>
      <c r="G113">
        <v>1.998</v>
      </c>
      <c r="H113" t="s">
        <v>138</v>
      </c>
      <c r="I113" t="s">
        <v>140</v>
      </c>
      <c r="J113" t="s">
        <v>248</v>
      </c>
      <c r="K113" t="s">
        <v>246</v>
      </c>
      <c r="M113">
        <v>11.2</v>
      </c>
      <c r="N113">
        <v>-12.4</v>
      </c>
    </row>
    <row r="114" spans="4:14">
      <c r="E114">
        <v>5.5</v>
      </c>
      <c r="F114">
        <v>150</v>
      </c>
      <c r="G114">
        <v>1.998</v>
      </c>
      <c r="H114" t="s">
        <v>138</v>
      </c>
      <c r="I114" t="s">
        <v>140</v>
      </c>
      <c r="J114" t="s">
        <v>248</v>
      </c>
      <c r="K114" t="s">
        <v>246</v>
      </c>
      <c r="M114">
        <v>11.3</v>
      </c>
      <c r="N114">
        <v>-12.6</v>
      </c>
    </row>
    <row r="115" spans="4:14">
      <c r="E115">
        <v>4.5</v>
      </c>
      <c r="F115">
        <v>-40</v>
      </c>
      <c r="G115">
        <v>2.0019999999999998</v>
      </c>
      <c r="H115" t="s">
        <v>138</v>
      </c>
      <c r="I115" t="s">
        <v>140</v>
      </c>
      <c r="J115" t="s">
        <v>248</v>
      </c>
      <c r="K115" t="s">
        <v>246</v>
      </c>
      <c r="M115">
        <v>11.4</v>
      </c>
      <c r="N115">
        <v>-12.8</v>
      </c>
    </row>
    <row r="116" spans="4:14">
      <c r="E116">
        <v>5.5</v>
      </c>
      <c r="F116">
        <v>-40</v>
      </c>
      <c r="G116">
        <v>2.0019999999999998</v>
      </c>
      <c r="H116" t="s">
        <v>138</v>
      </c>
      <c r="I116" t="s">
        <v>140</v>
      </c>
      <c r="J116" t="s">
        <v>248</v>
      </c>
      <c r="K116" t="s">
        <v>246</v>
      </c>
      <c r="M116">
        <v>11.5</v>
      </c>
      <c r="N116">
        <v>-13</v>
      </c>
    </row>
    <row r="117" spans="4:14">
      <c r="E117">
        <v>4.5</v>
      </c>
      <c r="F117">
        <v>150</v>
      </c>
      <c r="G117">
        <v>2.0019999999999998</v>
      </c>
      <c r="H117" t="s">
        <v>138</v>
      </c>
      <c r="I117" t="s">
        <v>140</v>
      </c>
      <c r="J117" t="s">
        <v>248</v>
      </c>
      <c r="K117" t="s">
        <v>246</v>
      </c>
      <c r="M117">
        <v>11.6</v>
      </c>
      <c r="N117">
        <v>-13.2</v>
      </c>
    </row>
    <row r="118" spans="4:14">
      <c r="E118">
        <v>5.5</v>
      </c>
      <c r="F118">
        <v>150</v>
      </c>
      <c r="G118">
        <v>2.0019999999999998</v>
      </c>
      <c r="H118" t="s">
        <v>138</v>
      </c>
      <c r="I118" t="s">
        <v>140</v>
      </c>
      <c r="J118" t="s">
        <v>248</v>
      </c>
      <c r="K118" t="s">
        <v>246</v>
      </c>
      <c r="M118">
        <v>11.7</v>
      </c>
      <c r="N118">
        <v>-13.4</v>
      </c>
    </row>
    <row r="119" spans="4:14">
      <c r="D119" t="s">
        <v>238</v>
      </c>
      <c r="E119">
        <v>4.5</v>
      </c>
      <c r="F119">
        <v>-40</v>
      </c>
      <c r="G119">
        <v>1.998</v>
      </c>
      <c r="H119" t="s">
        <v>140</v>
      </c>
      <c r="I119" t="s">
        <v>140</v>
      </c>
      <c r="J119" t="s">
        <v>249</v>
      </c>
      <c r="K119" t="s">
        <v>246</v>
      </c>
      <c r="M119">
        <v>11.8</v>
      </c>
      <c r="N119">
        <v>-13.6</v>
      </c>
    </row>
    <row r="120" spans="4:14">
      <c r="E120">
        <v>5.5</v>
      </c>
      <c r="F120">
        <v>-40</v>
      </c>
      <c r="G120">
        <v>1.998</v>
      </c>
      <c r="H120" t="s">
        <v>140</v>
      </c>
      <c r="I120" t="s">
        <v>140</v>
      </c>
      <c r="J120" t="s">
        <v>249</v>
      </c>
      <c r="K120" t="s">
        <v>246</v>
      </c>
      <c r="M120">
        <v>11.9</v>
      </c>
      <c r="N120">
        <v>-13.8</v>
      </c>
    </row>
    <row r="121" spans="4:14">
      <c r="E121">
        <v>4.5</v>
      </c>
      <c r="F121">
        <v>150</v>
      </c>
      <c r="G121">
        <v>1.998</v>
      </c>
      <c r="H121" t="s">
        <v>140</v>
      </c>
      <c r="I121" t="s">
        <v>140</v>
      </c>
      <c r="J121" t="s">
        <v>249</v>
      </c>
      <c r="K121" t="s">
        <v>246</v>
      </c>
      <c r="M121">
        <v>12</v>
      </c>
      <c r="N121">
        <v>-14</v>
      </c>
    </row>
    <row r="122" spans="4:14">
      <c r="E122">
        <v>5.5</v>
      </c>
      <c r="F122">
        <v>150</v>
      </c>
      <c r="G122">
        <v>1.998</v>
      </c>
      <c r="H122" t="s">
        <v>140</v>
      </c>
      <c r="I122" t="s">
        <v>140</v>
      </c>
      <c r="J122" t="s">
        <v>249</v>
      </c>
      <c r="K122" t="s">
        <v>246</v>
      </c>
      <c r="M122">
        <v>12.1</v>
      </c>
      <c r="N122">
        <v>-14.2</v>
      </c>
    </row>
    <row r="123" spans="4:14">
      <c r="E123">
        <v>4.5</v>
      </c>
      <c r="F123">
        <v>-40</v>
      </c>
      <c r="G123">
        <v>2.0019999999999998</v>
      </c>
      <c r="H123" t="s">
        <v>140</v>
      </c>
      <c r="I123" t="s">
        <v>140</v>
      </c>
      <c r="J123" t="s">
        <v>249</v>
      </c>
      <c r="K123" t="s">
        <v>246</v>
      </c>
      <c r="M123">
        <v>12.2</v>
      </c>
      <c r="N123">
        <v>-14.4</v>
      </c>
    </row>
    <row r="124" spans="4:14">
      <c r="E124">
        <v>5.5</v>
      </c>
      <c r="F124">
        <v>-40</v>
      </c>
      <c r="G124">
        <v>2.0019999999999998</v>
      </c>
      <c r="H124" t="s">
        <v>140</v>
      </c>
      <c r="I124" t="s">
        <v>140</v>
      </c>
      <c r="J124" t="s">
        <v>249</v>
      </c>
      <c r="K124" t="s">
        <v>246</v>
      </c>
      <c r="M124">
        <v>12.3</v>
      </c>
      <c r="N124">
        <v>-14.6</v>
      </c>
    </row>
    <row r="125" spans="4:14">
      <c r="E125">
        <v>4.5</v>
      </c>
      <c r="F125">
        <v>150</v>
      </c>
      <c r="G125">
        <v>2.0019999999999998</v>
      </c>
      <c r="H125" t="s">
        <v>140</v>
      </c>
      <c r="I125" t="s">
        <v>140</v>
      </c>
      <c r="J125" t="s">
        <v>249</v>
      </c>
      <c r="K125" t="s">
        <v>246</v>
      </c>
      <c r="M125">
        <v>12.4</v>
      </c>
      <c r="N125">
        <v>-14.8</v>
      </c>
    </row>
    <row r="126" spans="4:14">
      <c r="E126">
        <v>5.5</v>
      </c>
      <c r="F126">
        <v>150</v>
      </c>
      <c r="G126">
        <v>2.0019999999999998</v>
      </c>
      <c r="H126" t="s">
        <v>140</v>
      </c>
      <c r="I126" t="s">
        <v>140</v>
      </c>
      <c r="J126" t="s">
        <v>249</v>
      </c>
      <c r="K126" t="s">
        <v>246</v>
      </c>
      <c r="M126">
        <v>12.5</v>
      </c>
      <c r="N126">
        <v>-15</v>
      </c>
    </row>
    <row r="127" spans="4:14">
      <c r="D127" t="s">
        <v>239</v>
      </c>
      <c r="E127">
        <v>4.5</v>
      </c>
      <c r="F127">
        <v>-40</v>
      </c>
      <c r="G127">
        <v>1.998</v>
      </c>
      <c r="H127" t="s">
        <v>142</v>
      </c>
      <c r="I127" t="s">
        <v>140</v>
      </c>
      <c r="J127" t="s">
        <v>250</v>
      </c>
      <c r="K127" t="s">
        <v>246</v>
      </c>
      <c r="M127">
        <v>12.6</v>
      </c>
      <c r="N127">
        <v>-15.2</v>
      </c>
    </row>
    <row r="128" spans="4:14">
      <c r="E128">
        <v>5.5</v>
      </c>
      <c r="F128">
        <v>-40</v>
      </c>
      <c r="G128">
        <v>1.998</v>
      </c>
      <c r="H128" t="s">
        <v>142</v>
      </c>
      <c r="I128" t="s">
        <v>140</v>
      </c>
      <c r="J128" t="s">
        <v>250</v>
      </c>
      <c r="K128" t="s">
        <v>246</v>
      </c>
      <c r="M128">
        <v>12.7</v>
      </c>
      <c r="N128">
        <v>-15.4</v>
      </c>
    </row>
    <row r="129" spans="4:14">
      <c r="E129">
        <v>4.5</v>
      </c>
      <c r="F129">
        <v>150</v>
      </c>
      <c r="G129">
        <v>1.998</v>
      </c>
      <c r="H129" t="s">
        <v>142</v>
      </c>
      <c r="I129" t="s">
        <v>140</v>
      </c>
      <c r="J129" t="s">
        <v>250</v>
      </c>
      <c r="K129" t="s">
        <v>246</v>
      </c>
      <c r="M129">
        <v>12.8</v>
      </c>
      <c r="N129">
        <v>-15.6</v>
      </c>
    </row>
    <row r="130" spans="4:14">
      <c r="E130">
        <v>5.5</v>
      </c>
      <c r="F130">
        <v>150</v>
      </c>
      <c r="G130">
        <v>1.998</v>
      </c>
      <c r="H130" t="s">
        <v>142</v>
      </c>
      <c r="I130" t="s">
        <v>140</v>
      </c>
      <c r="J130" t="s">
        <v>250</v>
      </c>
      <c r="K130" t="s">
        <v>246</v>
      </c>
      <c r="M130">
        <v>12.9</v>
      </c>
      <c r="N130">
        <v>-15.8</v>
      </c>
    </row>
    <row r="131" spans="4:14">
      <c r="E131">
        <v>4.5</v>
      </c>
      <c r="F131">
        <v>-40</v>
      </c>
      <c r="G131">
        <v>2.0019999999999998</v>
      </c>
      <c r="H131" t="s">
        <v>142</v>
      </c>
      <c r="I131" t="s">
        <v>140</v>
      </c>
      <c r="J131" t="s">
        <v>250</v>
      </c>
      <c r="K131" t="s">
        <v>246</v>
      </c>
      <c r="M131">
        <v>13</v>
      </c>
      <c r="N131">
        <v>-16</v>
      </c>
    </row>
    <row r="132" spans="4:14">
      <c r="E132">
        <v>5.5</v>
      </c>
      <c r="F132">
        <v>-40</v>
      </c>
      <c r="G132">
        <v>2.0019999999999998</v>
      </c>
      <c r="H132" t="s">
        <v>142</v>
      </c>
      <c r="I132" t="s">
        <v>140</v>
      </c>
      <c r="J132" t="s">
        <v>250</v>
      </c>
      <c r="K132" t="s">
        <v>246</v>
      </c>
      <c r="M132">
        <v>13.1</v>
      </c>
      <c r="N132">
        <v>-16.2</v>
      </c>
    </row>
    <row r="133" spans="4:14">
      <c r="E133">
        <v>4.5</v>
      </c>
      <c r="F133">
        <v>150</v>
      </c>
      <c r="G133">
        <v>2.0019999999999998</v>
      </c>
      <c r="H133" t="s">
        <v>142</v>
      </c>
      <c r="I133" t="s">
        <v>140</v>
      </c>
      <c r="J133" t="s">
        <v>250</v>
      </c>
      <c r="K133" t="s">
        <v>246</v>
      </c>
      <c r="M133">
        <v>13.2</v>
      </c>
      <c r="N133">
        <v>-16.399999999999999</v>
      </c>
    </row>
    <row r="134" spans="4:14">
      <c r="E134">
        <v>5.5</v>
      </c>
      <c r="F134">
        <v>150</v>
      </c>
      <c r="G134">
        <v>2.0019999999999998</v>
      </c>
      <c r="H134" t="s">
        <v>142</v>
      </c>
      <c r="I134" t="s">
        <v>140</v>
      </c>
      <c r="J134" t="s">
        <v>250</v>
      </c>
      <c r="K134" t="s">
        <v>246</v>
      </c>
      <c r="M134">
        <v>13.3</v>
      </c>
      <c r="N134">
        <v>-16.600000000000001</v>
      </c>
    </row>
    <row r="135" spans="4:14">
      <c r="D135" t="s">
        <v>240</v>
      </c>
      <c r="E135">
        <v>4.5</v>
      </c>
      <c r="F135">
        <v>-40</v>
      </c>
      <c r="G135">
        <v>1.998</v>
      </c>
      <c r="H135" t="s">
        <v>136</v>
      </c>
      <c r="I135" t="s">
        <v>142</v>
      </c>
      <c r="J135" t="s">
        <v>247</v>
      </c>
      <c r="K135" t="s">
        <v>246</v>
      </c>
      <c r="M135">
        <v>13.4</v>
      </c>
      <c r="N135">
        <v>-16.8</v>
      </c>
    </row>
    <row r="136" spans="4:14">
      <c r="E136">
        <v>5.5</v>
      </c>
      <c r="F136">
        <v>-40</v>
      </c>
      <c r="G136">
        <v>1.998</v>
      </c>
      <c r="H136" t="s">
        <v>136</v>
      </c>
      <c r="I136" t="s">
        <v>142</v>
      </c>
      <c r="J136" t="s">
        <v>247</v>
      </c>
      <c r="K136" t="s">
        <v>246</v>
      </c>
      <c r="M136">
        <v>13.5</v>
      </c>
      <c r="N136">
        <v>-17</v>
      </c>
    </row>
    <row r="137" spans="4:14">
      <c r="E137">
        <v>4.5</v>
      </c>
      <c r="F137">
        <v>150</v>
      </c>
      <c r="G137">
        <v>1.998</v>
      </c>
      <c r="H137" t="s">
        <v>136</v>
      </c>
      <c r="I137" t="s">
        <v>142</v>
      </c>
      <c r="J137" t="s">
        <v>247</v>
      </c>
      <c r="K137" t="s">
        <v>246</v>
      </c>
      <c r="M137">
        <v>13.6</v>
      </c>
      <c r="N137">
        <v>-17.2</v>
      </c>
    </row>
    <row r="138" spans="4:14">
      <c r="E138">
        <v>5.5</v>
      </c>
      <c r="F138">
        <v>150</v>
      </c>
      <c r="G138">
        <v>1.998</v>
      </c>
      <c r="H138" t="s">
        <v>136</v>
      </c>
      <c r="I138" t="s">
        <v>142</v>
      </c>
      <c r="J138" t="s">
        <v>247</v>
      </c>
      <c r="K138" t="s">
        <v>246</v>
      </c>
      <c r="M138">
        <v>13.7</v>
      </c>
      <c r="N138">
        <v>-17.399999999999999</v>
      </c>
    </row>
    <row r="139" spans="4:14">
      <c r="E139">
        <v>4.5</v>
      </c>
      <c r="F139">
        <v>-40</v>
      </c>
      <c r="G139">
        <v>2.0019999999999998</v>
      </c>
      <c r="H139" t="s">
        <v>136</v>
      </c>
      <c r="I139" t="s">
        <v>142</v>
      </c>
      <c r="J139" t="s">
        <v>247</v>
      </c>
      <c r="K139" t="s">
        <v>246</v>
      </c>
      <c r="M139">
        <v>13.8</v>
      </c>
      <c r="N139">
        <v>-17.600000000000001</v>
      </c>
    </row>
    <row r="140" spans="4:14">
      <c r="E140">
        <v>5.5</v>
      </c>
      <c r="F140">
        <v>-40</v>
      </c>
      <c r="G140">
        <v>2.0019999999999998</v>
      </c>
      <c r="H140" t="s">
        <v>136</v>
      </c>
      <c r="I140" t="s">
        <v>142</v>
      </c>
      <c r="J140" t="s">
        <v>247</v>
      </c>
      <c r="K140" t="s">
        <v>246</v>
      </c>
      <c r="M140">
        <v>13.9</v>
      </c>
      <c r="N140">
        <v>-17.8</v>
      </c>
    </row>
    <row r="141" spans="4:14">
      <c r="E141">
        <v>4.5</v>
      </c>
      <c r="F141">
        <v>150</v>
      </c>
      <c r="G141">
        <v>2.0019999999999998</v>
      </c>
      <c r="H141" t="s">
        <v>136</v>
      </c>
      <c r="I141" t="s">
        <v>142</v>
      </c>
      <c r="J141" t="s">
        <v>247</v>
      </c>
      <c r="K141" t="s">
        <v>246</v>
      </c>
      <c r="M141">
        <v>14</v>
      </c>
      <c r="N141">
        <v>-18</v>
      </c>
    </row>
    <row r="142" spans="4:14">
      <c r="E142">
        <v>5.5</v>
      </c>
      <c r="F142">
        <v>150</v>
      </c>
      <c r="G142">
        <v>2.0019999999999998</v>
      </c>
      <c r="H142" t="s">
        <v>136</v>
      </c>
      <c r="I142" t="s">
        <v>142</v>
      </c>
      <c r="J142" t="s">
        <v>247</v>
      </c>
      <c r="K142" t="s">
        <v>246</v>
      </c>
      <c r="M142">
        <v>14.1</v>
      </c>
      <c r="N142">
        <v>-18.2</v>
      </c>
    </row>
    <row r="143" spans="4:14">
      <c r="D143" t="s">
        <v>241</v>
      </c>
      <c r="E143">
        <v>4.5</v>
      </c>
      <c r="F143">
        <v>-40</v>
      </c>
      <c r="G143">
        <v>1.998</v>
      </c>
      <c r="H143" t="s">
        <v>138</v>
      </c>
      <c r="I143" t="s">
        <v>142</v>
      </c>
      <c r="J143" t="s">
        <v>248</v>
      </c>
      <c r="K143" t="s">
        <v>246</v>
      </c>
      <c r="M143">
        <v>14.2</v>
      </c>
      <c r="N143">
        <v>-18.399999999999999</v>
      </c>
    </row>
    <row r="144" spans="4:14">
      <c r="E144">
        <v>5.5</v>
      </c>
      <c r="F144">
        <v>-40</v>
      </c>
      <c r="G144">
        <v>1.998</v>
      </c>
      <c r="H144" t="s">
        <v>138</v>
      </c>
      <c r="I144" t="s">
        <v>142</v>
      </c>
      <c r="J144" t="s">
        <v>248</v>
      </c>
      <c r="K144" t="s">
        <v>246</v>
      </c>
      <c r="M144">
        <v>14.3</v>
      </c>
      <c r="N144">
        <v>-18.600000000000001</v>
      </c>
    </row>
    <row r="145" spans="4:14">
      <c r="E145">
        <v>4.5</v>
      </c>
      <c r="F145">
        <v>150</v>
      </c>
      <c r="G145">
        <v>1.998</v>
      </c>
      <c r="H145" t="s">
        <v>138</v>
      </c>
      <c r="I145" t="s">
        <v>142</v>
      </c>
      <c r="J145" t="s">
        <v>248</v>
      </c>
      <c r="K145" t="s">
        <v>246</v>
      </c>
      <c r="M145">
        <v>14.4</v>
      </c>
      <c r="N145">
        <v>-18.8</v>
      </c>
    </row>
    <row r="146" spans="4:14">
      <c r="E146">
        <v>5.5</v>
      </c>
      <c r="F146">
        <v>150</v>
      </c>
      <c r="G146">
        <v>1.998</v>
      </c>
      <c r="H146" t="s">
        <v>138</v>
      </c>
      <c r="I146" t="s">
        <v>142</v>
      </c>
      <c r="J146" t="s">
        <v>248</v>
      </c>
      <c r="K146" t="s">
        <v>246</v>
      </c>
      <c r="M146">
        <v>14.5</v>
      </c>
      <c r="N146">
        <v>-19</v>
      </c>
    </row>
    <row r="147" spans="4:14">
      <c r="E147">
        <v>4.5</v>
      </c>
      <c r="F147">
        <v>-40</v>
      </c>
      <c r="G147">
        <v>2.0019999999999998</v>
      </c>
      <c r="H147" t="s">
        <v>138</v>
      </c>
      <c r="I147" t="s">
        <v>142</v>
      </c>
      <c r="J147" t="s">
        <v>248</v>
      </c>
      <c r="K147" t="s">
        <v>246</v>
      </c>
      <c r="M147">
        <v>14.6</v>
      </c>
      <c r="N147">
        <v>-19.2</v>
      </c>
    </row>
    <row r="148" spans="4:14">
      <c r="E148">
        <v>5.5</v>
      </c>
      <c r="F148">
        <v>-40</v>
      </c>
      <c r="G148">
        <v>2.0019999999999998</v>
      </c>
      <c r="H148" t="s">
        <v>138</v>
      </c>
      <c r="I148" t="s">
        <v>142</v>
      </c>
      <c r="J148" t="s">
        <v>248</v>
      </c>
      <c r="K148" t="s">
        <v>246</v>
      </c>
      <c r="M148">
        <v>14.7</v>
      </c>
      <c r="N148">
        <v>-19.399999999999999</v>
      </c>
    </row>
    <row r="149" spans="4:14">
      <c r="E149">
        <v>4.5</v>
      </c>
      <c r="F149">
        <v>150</v>
      </c>
      <c r="G149">
        <v>2.0019999999999998</v>
      </c>
      <c r="H149" t="s">
        <v>138</v>
      </c>
      <c r="I149" t="s">
        <v>142</v>
      </c>
      <c r="J149" t="s">
        <v>248</v>
      </c>
      <c r="K149" t="s">
        <v>246</v>
      </c>
      <c r="M149">
        <v>14.8</v>
      </c>
      <c r="N149">
        <v>-19.600000000000001</v>
      </c>
    </row>
    <row r="150" spans="4:14">
      <c r="E150">
        <v>5.5</v>
      </c>
      <c r="F150">
        <v>150</v>
      </c>
      <c r="G150">
        <v>2.0019999999999998</v>
      </c>
      <c r="H150" t="s">
        <v>138</v>
      </c>
      <c r="I150" t="s">
        <v>142</v>
      </c>
      <c r="J150" t="s">
        <v>248</v>
      </c>
      <c r="K150" t="s">
        <v>246</v>
      </c>
      <c r="M150">
        <v>14.9</v>
      </c>
      <c r="N150">
        <v>-19.8</v>
      </c>
    </row>
    <row r="151" spans="4:14">
      <c r="D151" t="s">
        <v>242</v>
      </c>
      <c r="E151">
        <v>4.5</v>
      </c>
      <c r="F151">
        <v>-40</v>
      </c>
      <c r="G151">
        <v>1.998</v>
      </c>
      <c r="H151" t="s">
        <v>140</v>
      </c>
      <c r="I151" t="s">
        <v>142</v>
      </c>
      <c r="J151" t="s">
        <v>249</v>
      </c>
      <c r="K151" t="s">
        <v>246</v>
      </c>
      <c r="M151">
        <v>15</v>
      </c>
      <c r="N151">
        <v>-20</v>
      </c>
    </row>
    <row r="152" spans="4:14">
      <c r="E152">
        <v>5.5</v>
      </c>
      <c r="F152">
        <v>-40</v>
      </c>
      <c r="G152">
        <v>1.998</v>
      </c>
      <c r="H152" t="s">
        <v>140</v>
      </c>
      <c r="I152" t="s">
        <v>142</v>
      </c>
      <c r="J152" t="s">
        <v>249</v>
      </c>
      <c r="K152" t="s">
        <v>246</v>
      </c>
      <c r="M152">
        <v>15.1</v>
      </c>
      <c r="N152">
        <v>-20.2</v>
      </c>
    </row>
    <row r="153" spans="4:14">
      <c r="E153">
        <v>4.5</v>
      </c>
      <c r="F153">
        <v>150</v>
      </c>
      <c r="G153">
        <v>1.998</v>
      </c>
      <c r="H153" t="s">
        <v>140</v>
      </c>
      <c r="I153" t="s">
        <v>142</v>
      </c>
      <c r="J153" t="s">
        <v>249</v>
      </c>
      <c r="K153" t="s">
        <v>246</v>
      </c>
      <c r="M153">
        <v>15.2</v>
      </c>
      <c r="N153">
        <v>-20.399999999999999</v>
      </c>
    </row>
    <row r="154" spans="4:14">
      <c r="E154">
        <v>5.5</v>
      </c>
      <c r="F154">
        <v>150</v>
      </c>
      <c r="G154">
        <v>1.998</v>
      </c>
      <c r="H154" t="s">
        <v>140</v>
      </c>
      <c r="I154" t="s">
        <v>142</v>
      </c>
      <c r="J154" t="s">
        <v>249</v>
      </c>
      <c r="K154" t="s">
        <v>246</v>
      </c>
      <c r="M154">
        <v>15.3</v>
      </c>
      <c r="N154">
        <v>-20.6</v>
      </c>
    </row>
    <row r="155" spans="4:14">
      <c r="E155">
        <v>4.5</v>
      </c>
      <c r="F155">
        <v>-40</v>
      </c>
      <c r="G155">
        <v>2.0019999999999998</v>
      </c>
      <c r="H155" t="s">
        <v>140</v>
      </c>
      <c r="I155" t="s">
        <v>142</v>
      </c>
      <c r="J155" t="s">
        <v>249</v>
      </c>
      <c r="K155" t="s">
        <v>246</v>
      </c>
      <c r="M155">
        <v>15.4</v>
      </c>
      <c r="N155">
        <v>-20.8</v>
      </c>
    </row>
    <row r="156" spans="4:14">
      <c r="E156">
        <v>5.5</v>
      </c>
      <c r="F156">
        <v>-40</v>
      </c>
      <c r="G156">
        <v>2.0019999999999998</v>
      </c>
      <c r="H156" t="s">
        <v>140</v>
      </c>
      <c r="I156" t="s">
        <v>142</v>
      </c>
      <c r="J156" t="s">
        <v>249</v>
      </c>
      <c r="K156" t="s">
        <v>246</v>
      </c>
      <c r="M156">
        <v>15.5</v>
      </c>
      <c r="N156">
        <v>-21</v>
      </c>
    </row>
    <row r="157" spans="4:14">
      <c r="E157">
        <v>4.5</v>
      </c>
      <c r="F157">
        <v>150</v>
      </c>
      <c r="G157">
        <v>2.0019999999999998</v>
      </c>
      <c r="H157" t="s">
        <v>140</v>
      </c>
      <c r="I157" t="s">
        <v>142</v>
      </c>
      <c r="J157" t="s">
        <v>249</v>
      </c>
      <c r="K157" t="s">
        <v>246</v>
      </c>
      <c r="M157">
        <v>15.6</v>
      </c>
      <c r="N157">
        <v>-21.2</v>
      </c>
    </row>
    <row r="158" spans="4:14">
      <c r="E158">
        <v>5.5</v>
      </c>
      <c r="F158">
        <v>150</v>
      </c>
      <c r="G158">
        <v>2.0019999999999998</v>
      </c>
      <c r="H158" t="s">
        <v>140</v>
      </c>
      <c r="I158" t="s">
        <v>142</v>
      </c>
      <c r="J158" t="s">
        <v>249</v>
      </c>
      <c r="K158" t="s">
        <v>246</v>
      </c>
      <c r="M158">
        <v>15.7</v>
      </c>
      <c r="N158">
        <v>-21.4</v>
      </c>
    </row>
    <row r="159" spans="4:14">
      <c r="D159" t="s">
        <v>243</v>
      </c>
      <c r="E159">
        <v>4.5</v>
      </c>
      <c r="F159">
        <v>-40</v>
      </c>
      <c r="G159">
        <v>1.998</v>
      </c>
      <c r="H159" t="s">
        <v>142</v>
      </c>
      <c r="I159" t="s">
        <v>142</v>
      </c>
      <c r="J159" t="s">
        <v>250</v>
      </c>
      <c r="K159" t="s">
        <v>246</v>
      </c>
      <c r="M159">
        <v>15.8</v>
      </c>
      <c r="N159">
        <v>-21.6</v>
      </c>
    </row>
    <row r="160" spans="4:14">
      <c r="E160">
        <v>5.5</v>
      </c>
      <c r="F160">
        <v>-40</v>
      </c>
      <c r="G160">
        <v>1.998</v>
      </c>
      <c r="H160" t="s">
        <v>142</v>
      </c>
      <c r="I160" t="s">
        <v>142</v>
      </c>
      <c r="J160" t="s">
        <v>250</v>
      </c>
      <c r="K160" t="s">
        <v>246</v>
      </c>
      <c r="M160">
        <v>15.9</v>
      </c>
      <c r="N160">
        <v>-21.8</v>
      </c>
    </row>
    <row r="161" spans="5:14">
      <c r="E161">
        <v>4.5</v>
      </c>
      <c r="F161">
        <v>150</v>
      </c>
      <c r="G161">
        <v>1.998</v>
      </c>
      <c r="H161" t="s">
        <v>142</v>
      </c>
      <c r="I161" t="s">
        <v>142</v>
      </c>
      <c r="J161" t="s">
        <v>250</v>
      </c>
      <c r="K161" t="s">
        <v>246</v>
      </c>
      <c r="M161">
        <v>16</v>
      </c>
      <c r="N161">
        <v>-22</v>
      </c>
    </row>
    <row r="162" spans="5:14">
      <c r="E162">
        <v>5.5</v>
      </c>
      <c r="F162">
        <v>150</v>
      </c>
      <c r="G162">
        <v>1.998</v>
      </c>
      <c r="H162" t="s">
        <v>142</v>
      </c>
      <c r="I162" t="s">
        <v>142</v>
      </c>
      <c r="J162" t="s">
        <v>250</v>
      </c>
      <c r="K162" t="s">
        <v>246</v>
      </c>
      <c r="M162">
        <v>16.100000000000001</v>
      </c>
      <c r="N162">
        <v>-22.2</v>
      </c>
    </row>
    <row r="163" spans="5:14">
      <c r="E163">
        <v>4.5</v>
      </c>
      <c r="F163">
        <v>-40</v>
      </c>
      <c r="G163">
        <v>2.0019999999999998</v>
      </c>
      <c r="H163" t="s">
        <v>142</v>
      </c>
      <c r="I163" t="s">
        <v>142</v>
      </c>
      <c r="J163" t="s">
        <v>250</v>
      </c>
      <c r="K163" t="s">
        <v>246</v>
      </c>
      <c r="M163">
        <v>16.2</v>
      </c>
      <c r="N163">
        <v>-22.4</v>
      </c>
    </row>
    <row r="164" spans="5:14">
      <c r="E164">
        <v>5.5</v>
      </c>
      <c r="F164">
        <v>-40</v>
      </c>
      <c r="G164">
        <v>2.0019999999999998</v>
      </c>
      <c r="H164" t="s">
        <v>142</v>
      </c>
      <c r="I164" t="s">
        <v>142</v>
      </c>
      <c r="J164" t="s">
        <v>250</v>
      </c>
      <c r="K164" t="s">
        <v>246</v>
      </c>
      <c r="M164">
        <v>16.3</v>
      </c>
      <c r="N164">
        <v>-22.6</v>
      </c>
    </row>
    <row r="165" spans="5:14">
      <c r="E165">
        <v>4.5</v>
      </c>
      <c r="F165">
        <v>150</v>
      </c>
      <c r="G165">
        <v>2.0019999999999998</v>
      </c>
      <c r="H165" t="s">
        <v>142</v>
      </c>
      <c r="I165" t="s">
        <v>142</v>
      </c>
      <c r="J165" t="s">
        <v>250</v>
      </c>
      <c r="K165" t="s">
        <v>246</v>
      </c>
      <c r="M165">
        <v>16.399999999999999</v>
      </c>
      <c r="N165">
        <v>-22.8</v>
      </c>
    </row>
    <row r="166" spans="5:14">
      <c r="E166">
        <v>5.5</v>
      </c>
      <c r="F166">
        <v>150</v>
      </c>
      <c r="G166">
        <v>2.0019999999999998</v>
      </c>
      <c r="H166" t="s">
        <v>142</v>
      </c>
      <c r="I166" t="s">
        <v>142</v>
      </c>
      <c r="J166" t="s">
        <v>250</v>
      </c>
      <c r="K166" t="s">
        <v>246</v>
      </c>
      <c r="M166">
        <v>16.5</v>
      </c>
      <c r="N166">
        <v>-23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BP47"/>
  <sheetViews>
    <sheetView topLeftCell="BF4" zoomScale="70" zoomScaleNormal="70" workbookViewId="0">
      <selection activeCell="BP54" sqref="BP54"/>
    </sheetView>
  </sheetViews>
  <sheetFormatPr defaultRowHeight="13"/>
  <cols>
    <col min="47" max="47" width="9.81640625" bestFit="1" customWidth="1"/>
  </cols>
  <sheetData>
    <row r="1" spans="3:68">
      <c r="F1" t="s">
        <v>367</v>
      </c>
      <c r="G1" t="s">
        <v>367</v>
      </c>
      <c r="H1" t="s">
        <v>368</v>
      </c>
      <c r="I1" t="s">
        <v>368</v>
      </c>
      <c r="J1" t="s">
        <v>367</v>
      </c>
      <c r="L1" t="s">
        <v>367</v>
      </c>
      <c r="M1" t="s">
        <v>368</v>
      </c>
      <c r="N1" t="s">
        <v>367</v>
      </c>
      <c r="O1" t="s">
        <v>367</v>
      </c>
      <c r="P1" t="s">
        <v>368</v>
      </c>
    </row>
    <row r="2" spans="3:68">
      <c r="F2">
        <v>1</v>
      </c>
      <c r="G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</row>
    <row r="3" spans="3:68">
      <c r="D3" t="s">
        <v>362</v>
      </c>
      <c r="F3" t="s">
        <v>363</v>
      </c>
      <c r="G3" t="s">
        <v>363</v>
      </c>
      <c r="H3" t="s">
        <v>363</v>
      </c>
      <c r="I3" t="s">
        <v>363</v>
      </c>
      <c r="J3" t="s">
        <v>363</v>
      </c>
      <c r="K3" t="s">
        <v>363</v>
      </c>
      <c r="L3" t="s">
        <v>365</v>
      </c>
      <c r="M3" t="s">
        <v>364</v>
      </c>
      <c r="N3" t="s">
        <v>366</v>
      </c>
      <c r="O3" t="s">
        <v>363</v>
      </c>
      <c r="P3" t="s">
        <v>363</v>
      </c>
    </row>
    <row r="4" spans="3:68">
      <c r="D4" t="s">
        <v>356</v>
      </c>
      <c r="F4" t="s">
        <v>353</v>
      </c>
      <c r="G4" t="s">
        <v>353</v>
      </c>
      <c r="H4" t="s">
        <v>353</v>
      </c>
      <c r="I4" t="s">
        <v>354</v>
      </c>
      <c r="J4" t="s">
        <v>353</v>
      </c>
      <c r="K4" t="s">
        <v>353</v>
      </c>
      <c r="L4" t="s">
        <v>353</v>
      </c>
      <c r="M4" t="s">
        <v>354</v>
      </c>
      <c r="N4" t="s">
        <v>354</v>
      </c>
      <c r="O4" t="s">
        <v>353</v>
      </c>
      <c r="P4" t="s">
        <v>354</v>
      </c>
    </row>
    <row r="5" spans="3:68">
      <c r="D5" t="s">
        <v>357</v>
      </c>
      <c r="F5" t="s">
        <v>358</v>
      </c>
      <c r="G5" t="s">
        <v>358</v>
      </c>
      <c r="H5" t="s">
        <v>355</v>
      </c>
      <c r="I5" t="s">
        <v>359</v>
      </c>
      <c r="J5" t="s">
        <v>358</v>
      </c>
      <c r="K5" t="s">
        <v>358</v>
      </c>
      <c r="L5" t="s">
        <v>358</v>
      </c>
      <c r="M5" t="s">
        <v>358</v>
      </c>
      <c r="N5" t="s">
        <v>358</v>
      </c>
      <c r="O5" t="s">
        <v>358</v>
      </c>
      <c r="P5" t="s">
        <v>358</v>
      </c>
    </row>
    <row r="6" spans="3:68">
      <c r="C6" t="s">
        <v>254</v>
      </c>
      <c r="D6" t="s">
        <v>360</v>
      </c>
      <c r="F6" t="s">
        <v>280</v>
      </c>
      <c r="G6" t="s">
        <v>280</v>
      </c>
      <c r="J6" t="s">
        <v>280</v>
      </c>
      <c r="K6" t="s">
        <v>280</v>
      </c>
      <c r="L6" t="s">
        <v>285</v>
      </c>
      <c r="M6" t="s">
        <v>361</v>
      </c>
      <c r="N6" t="s">
        <v>361</v>
      </c>
      <c r="O6" t="s">
        <v>283</v>
      </c>
      <c r="P6" t="s">
        <v>289</v>
      </c>
      <c r="R6" t="s">
        <v>254</v>
      </c>
      <c r="T6" t="s">
        <v>280</v>
      </c>
      <c r="AC6" t="s">
        <v>280</v>
      </c>
      <c r="AI6" t="s">
        <v>280</v>
      </c>
      <c r="AN6" t="s">
        <v>280</v>
      </c>
      <c r="AS6" t="s">
        <v>285</v>
      </c>
      <c r="AX6" t="s">
        <v>283</v>
      </c>
      <c r="BM6" t="s">
        <v>427</v>
      </c>
    </row>
    <row r="7" spans="3:68">
      <c r="F7" t="s">
        <v>279</v>
      </c>
      <c r="G7" t="s">
        <v>28</v>
      </c>
      <c r="J7" t="s">
        <v>281</v>
      </c>
      <c r="K7" t="s">
        <v>282</v>
      </c>
      <c r="L7" t="s">
        <v>279</v>
      </c>
      <c r="M7" t="s">
        <v>282</v>
      </c>
      <c r="N7" t="s">
        <v>287</v>
      </c>
      <c r="O7" t="s">
        <v>284</v>
      </c>
      <c r="T7" t="s">
        <v>279</v>
      </c>
      <c r="AC7" t="s">
        <v>28</v>
      </c>
      <c r="AI7" t="s">
        <v>281</v>
      </c>
      <c r="AN7" t="s">
        <v>282</v>
      </c>
      <c r="AS7" t="s">
        <v>279</v>
      </c>
      <c r="AX7" t="s">
        <v>282</v>
      </c>
      <c r="BM7" t="s">
        <v>428</v>
      </c>
    </row>
    <row r="8" spans="3:68">
      <c r="C8" t="s">
        <v>27</v>
      </c>
      <c r="F8" t="s">
        <v>286</v>
      </c>
      <c r="G8" t="s">
        <v>286</v>
      </c>
      <c r="I8" t="s">
        <v>286</v>
      </c>
      <c r="J8" t="s">
        <v>286</v>
      </c>
      <c r="K8" t="s">
        <v>286</v>
      </c>
      <c r="Q8" t="s">
        <v>27</v>
      </c>
      <c r="R8" t="s">
        <v>297</v>
      </c>
      <c r="U8" t="s">
        <v>323</v>
      </c>
    </row>
    <row r="9" spans="3:68">
      <c r="C9" t="s">
        <v>255</v>
      </c>
      <c r="H9" t="s">
        <v>286</v>
      </c>
      <c r="O9" t="s">
        <v>286</v>
      </c>
      <c r="R9" t="s">
        <v>290</v>
      </c>
      <c r="U9" t="s">
        <v>324</v>
      </c>
      <c r="AC9" t="s">
        <v>28</v>
      </c>
      <c r="AD9" t="s">
        <v>33</v>
      </c>
      <c r="AE9">
        <v>25</v>
      </c>
      <c r="AI9" t="s">
        <v>281</v>
      </c>
      <c r="AJ9" t="s">
        <v>33</v>
      </c>
      <c r="AK9">
        <v>10000</v>
      </c>
      <c r="AN9" t="s">
        <v>369</v>
      </c>
      <c r="AO9" t="s">
        <v>33</v>
      </c>
      <c r="AP9">
        <v>2.5</v>
      </c>
      <c r="AS9" t="s">
        <v>370</v>
      </c>
      <c r="AT9" t="s">
        <v>373</v>
      </c>
      <c r="AU9">
        <v>10000000</v>
      </c>
      <c r="AX9" t="s">
        <v>398</v>
      </c>
      <c r="AY9" t="s">
        <v>399</v>
      </c>
      <c r="AZ9" s="20">
        <v>1E-3</v>
      </c>
      <c r="BA9" t="str">
        <f>AZ9*1000&amp;"ms"</f>
        <v>1ms</v>
      </c>
      <c r="BM9" t="s">
        <v>398</v>
      </c>
      <c r="BN9" t="s">
        <v>469</v>
      </c>
      <c r="BO9" s="20">
        <v>2E-3</v>
      </c>
      <c r="BP9" t="str">
        <f>BO9*1000&amp;"ms"</f>
        <v>2ms</v>
      </c>
    </row>
    <row r="10" spans="3:68">
      <c r="C10" t="s">
        <v>256</v>
      </c>
      <c r="F10" t="s">
        <v>286</v>
      </c>
      <c r="G10" t="s">
        <v>286</v>
      </c>
      <c r="H10" t="s">
        <v>286</v>
      </c>
      <c r="I10" t="s">
        <v>286</v>
      </c>
      <c r="J10" t="s">
        <v>286</v>
      </c>
      <c r="K10" t="s">
        <v>286</v>
      </c>
      <c r="R10" t="s">
        <v>291</v>
      </c>
      <c r="U10" t="s">
        <v>325</v>
      </c>
      <c r="AD10" t="s">
        <v>337</v>
      </c>
      <c r="AE10">
        <v>-40</v>
      </c>
      <c r="AJ10" t="s">
        <v>337</v>
      </c>
      <c r="AK10">
        <v>2000</v>
      </c>
      <c r="AO10" t="s">
        <v>337</v>
      </c>
      <c r="AP10">
        <v>0</v>
      </c>
      <c r="AT10" t="s">
        <v>371</v>
      </c>
      <c r="AU10">
        <v>100000</v>
      </c>
      <c r="AV10" t="s">
        <v>375</v>
      </c>
      <c r="AY10" t="s">
        <v>400</v>
      </c>
      <c r="AZ10" s="20">
        <v>1.0000000000000001E-9</v>
      </c>
      <c r="BA10" t="str">
        <f>AZ10*1000000000&amp;"ns"</f>
        <v>1ns</v>
      </c>
      <c r="BN10" t="s">
        <v>400</v>
      </c>
      <c r="BO10" s="20">
        <v>9.9999999999999995E-7</v>
      </c>
      <c r="BP10" t="str">
        <f>BO10*1000000000&amp;"ns"</f>
        <v>1000ns</v>
      </c>
    </row>
    <row r="11" spans="3:68">
      <c r="C11" t="s">
        <v>257</v>
      </c>
      <c r="F11" t="s">
        <v>286</v>
      </c>
      <c r="G11" t="s">
        <v>286</v>
      </c>
      <c r="H11" t="s">
        <v>286</v>
      </c>
      <c r="I11" t="s">
        <v>286</v>
      </c>
      <c r="J11" t="s">
        <v>286</v>
      </c>
      <c r="K11" t="s">
        <v>286</v>
      </c>
      <c r="R11" t="s">
        <v>299</v>
      </c>
      <c r="U11" t="s">
        <v>326</v>
      </c>
      <c r="AD11" t="s">
        <v>338</v>
      </c>
      <c r="AE11">
        <v>150</v>
      </c>
      <c r="AJ11" t="s">
        <v>338</v>
      </c>
      <c r="AK11">
        <v>20000</v>
      </c>
      <c r="AO11" t="s">
        <v>338</v>
      </c>
      <c r="AP11">
        <v>5</v>
      </c>
      <c r="AT11" t="s">
        <v>372</v>
      </c>
      <c r="AU11">
        <v>1000000</v>
      </c>
      <c r="AV11" t="s">
        <v>376</v>
      </c>
      <c r="AY11" t="s">
        <v>402</v>
      </c>
      <c r="AZ11">
        <v>5</v>
      </c>
      <c r="BN11" t="s">
        <v>402</v>
      </c>
      <c r="BO11">
        <v>5</v>
      </c>
    </row>
    <row r="12" spans="3:68">
      <c r="R12" t="s">
        <v>298</v>
      </c>
      <c r="U12" t="s">
        <v>327</v>
      </c>
      <c r="AY12" t="s">
        <v>405</v>
      </c>
      <c r="AZ12">
        <v>0.9</v>
      </c>
      <c r="BN12" t="s">
        <v>405</v>
      </c>
      <c r="BO12">
        <v>0.9</v>
      </c>
    </row>
    <row r="13" spans="3:68">
      <c r="C13" t="s">
        <v>277</v>
      </c>
      <c r="I13" t="s">
        <v>286</v>
      </c>
      <c r="Q13" t="s">
        <v>296</v>
      </c>
      <c r="R13" t="s">
        <v>308</v>
      </c>
      <c r="U13" t="s">
        <v>328</v>
      </c>
      <c r="AC13" t="s">
        <v>27</v>
      </c>
      <c r="AD13">
        <f>COUNTA(AE13:AE15)</f>
        <v>2</v>
      </c>
      <c r="AE13" t="s">
        <v>36</v>
      </c>
      <c r="AF13" t="s">
        <v>346</v>
      </c>
      <c r="AI13" t="s">
        <v>27</v>
      </c>
      <c r="AJ13">
        <f>COUNTA(AK13:AK15)</f>
        <v>2</v>
      </c>
      <c r="AK13" t="s">
        <v>36</v>
      </c>
      <c r="AL13" t="s">
        <v>346</v>
      </c>
      <c r="AN13" t="s">
        <v>27</v>
      </c>
      <c r="AO13">
        <f>COUNTA(AP13:AP15)</f>
        <v>2</v>
      </c>
      <c r="AP13" t="s">
        <v>36</v>
      </c>
      <c r="AQ13" t="s">
        <v>346</v>
      </c>
      <c r="AS13" t="s">
        <v>263</v>
      </c>
      <c r="AT13">
        <f>COUNTA(AU13:AU16)</f>
        <v>3</v>
      </c>
      <c r="AU13" t="s">
        <v>374</v>
      </c>
      <c r="AV13" t="s">
        <v>345</v>
      </c>
      <c r="AY13" t="s">
        <v>406</v>
      </c>
      <c r="AZ13">
        <v>0.1</v>
      </c>
      <c r="BN13" t="s">
        <v>406</v>
      </c>
      <c r="BO13">
        <v>0.1</v>
      </c>
    </row>
    <row r="14" spans="3:68">
      <c r="C14" t="s">
        <v>278</v>
      </c>
      <c r="I14" t="s">
        <v>286</v>
      </c>
      <c r="Q14" t="s">
        <v>260</v>
      </c>
      <c r="U14" t="s">
        <v>331</v>
      </c>
      <c r="AE14" t="s">
        <v>347</v>
      </c>
      <c r="AF14" t="s">
        <v>347</v>
      </c>
      <c r="AK14" t="s">
        <v>347</v>
      </c>
      <c r="AL14" t="s">
        <v>347</v>
      </c>
      <c r="AP14" t="s">
        <v>347</v>
      </c>
      <c r="AQ14" t="s">
        <v>347</v>
      </c>
      <c r="AU14" t="s">
        <v>377</v>
      </c>
      <c r="AV14" t="s">
        <v>378</v>
      </c>
      <c r="AY14" t="s">
        <v>417</v>
      </c>
      <c r="AZ14" t="s">
        <v>413</v>
      </c>
      <c r="BN14" t="s">
        <v>282</v>
      </c>
      <c r="BO14" t="s">
        <v>413</v>
      </c>
    </row>
    <row r="15" spans="3:68">
      <c r="C15" t="s">
        <v>258</v>
      </c>
      <c r="I15" t="s">
        <v>286</v>
      </c>
      <c r="AU15" t="s">
        <v>379</v>
      </c>
      <c r="AV15" t="s">
        <v>380</v>
      </c>
      <c r="AY15" t="s">
        <v>416</v>
      </c>
      <c r="AZ15" t="s">
        <v>414</v>
      </c>
      <c r="BN15" t="s">
        <v>279</v>
      </c>
      <c r="BO15" t="s">
        <v>414</v>
      </c>
    </row>
    <row r="16" spans="3:68">
      <c r="Q16" t="s">
        <v>256</v>
      </c>
      <c r="R16" t="s">
        <v>303</v>
      </c>
      <c r="U16" t="s">
        <v>309</v>
      </c>
      <c r="AC16" t="s">
        <v>256</v>
      </c>
      <c r="AD16">
        <f>COUNTA(AE16:AE17)</f>
        <v>1</v>
      </c>
      <c r="AE16" t="s">
        <v>344</v>
      </c>
      <c r="AF16" t="s">
        <v>403</v>
      </c>
      <c r="AI16" t="s">
        <v>256</v>
      </c>
      <c r="AJ16">
        <f>COUNTA(AK16:AK17)</f>
        <v>1</v>
      </c>
      <c r="AK16" t="s">
        <v>344</v>
      </c>
      <c r="AL16" t="s">
        <v>403</v>
      </c>
      <c r="AN16" t="s">
        <v>256</v>
      </c>
      <c r="AO16">
        <f>COUNTA(AP16:AP17)</f>
        <v>1</v>
      </c>
      <c r="AP16" t="s">
        <v>344</v>
      </c>
      <c r="AQ16" t="s">
        <v>403</v>
      </c>
      <c r="AY16" t="s">
        <v>412</v>
      </c>
      <c r="AZ16" t="s">
        <v>415</v>
      </c>
      <c r="BN16" t="s">
        <v>412</v>
      </c>
      <c r="BO16" t="s">
        <v>415</v>
      </c>
    </row>
    <row r="17" spans="3:68">
      <c r="C17" t="s">
        <v>259</v>
      </c>
      <c r="G17" t="s">
        <v>286</v>
      </c>
      <c r="H17" t="s">
        <v>286</v>
      </c>
      <c r="I17" t="s">
        <v>286</v>
      </c>
      <c r="R17" t="s">
        <v>292</v>
      </c>
      <c r="U17" t="s">
        <v>310</v>
      </c>
      <c r="AS17" t="s">
        <v>350</v>
      </c>
      <c r="AT17">
        <f>COUNTA(AU17:AU20)</f>
        <v>2</v>
      </c>
      <c r="AU17" t="s">
        <v>347</v>
      </c>
      <c r="AV17" t="s">
        <v>351</v>
      </c>
    </row>
    <row r="18" spans="3:68">
      <c r="C18" t="s">
        <v>260</v>
      </c>
      <c r="F18" t="s">
        <v>286</v>
      </c>
      <c r="R18" t="s">
        <v>293</v>
      </c>
      <c r="U18" t="s">
        <v>311</v>
      </c>
      <c r="AC18" t="s">
        <v>257</v>
      </c>
      <c r="AD18">
        <f>COUNTA(AE18:AE19)</f>
        <v>1</v>
      </c>
      <c r="AE18" t="s">
        <v>348</v>
      </c>
      <c r="AF18" t="s">
        <v>349</v>
      </c>
      <c r="AI18" t="s">
        <v>257</v>
      </c>
      <c r="AJ18">
        <f>COUNTA(AK18:AK19)</f>
        <v>1</v>
      </c>
      <c r="AK18" t="s">
        <v>348</v>
      </c>
      <c r="AL18" t="s">
        <v>349</v>
      </c>
      <c r="AN18" t="s">
        <v>257</v>
      </c>
      <c r="AO18">
        <f>COUNTA(AP18:AP19)</f>
        <v>1</v>
      </c>
      <c r="AP18" t="s">
        <v>348</v>
      </c>
      <c r="AQ18" t="s">
        <v>349</v>
      </c>
      <c r="AU18" t="s">
        <v>352</v>
      </c>
      <c r="AV18" t="s">
        <v>351</v>
      </c>
      <c r="AX18" t="s">
        <v>27</v>
      </c>
      <c r="AY18">
        <f>COUNTA(AZ18:AZ20)</f>
        <v>2</v>
      </c>
      <c r="AZ18" t="s">
        <v>36</v>
      </c>
      <c r="BA18" t="s">
        <v>346</v>
      </c>
      <c r="BM18" t="s">
        <v>27</v>
      </c>
      <c r="BN18">
        <f>COUNTA(BO18:BO20)</f>
        <v>1</v>
      </c>
      <c r="BO18" t="s">
        <v>36</v>
      </c>
      <c r="BP18" t="s">
        <v>346</v>
      </c>
    </row>
    <row r="19" spans="3:68">
      <c r="C19" t="s">
        <v>261</v>
      </c>
      <c r="F19" t="s">
        <v>286</v>
      </c>
      <c r="R19" t="s">
        <v>300</v>
      </c>
      <c r="U19" t="s">
        <v>312</v>
      </c>
      <c r="AZ19" t="s">
        <v>347</v>
      </c>
      <c r="BA19" t="s">
        <v>347</v>
      </c>
    </row>
    <row r="20" spans="3:68">
      <c r="C20" t="s">
        <v>262</v>
      </c>
      <c r="J20" t="s">
        <v>286</v>
      </c>
      <c r="R20" t="s">
        <v>301</v>
      </c>
      <c r="U20" t="s">
        <v>313</v>
      </c>
      <c r="AC20" t="s">
        <v>350</v>
      </c>
      <c r="AD20">
        <f>COUNTA(AE20:AE22)</f>
        <v>2</v>
      </c>
      <c r="AE20" t="s">
        <v>347</v>
      </c>
      <c r="AF20" t="s">
        <v>351</v>
      </c>
      <c r="AI20" t="s">
        <v>350</v>
      </c>
      <c r="AJ20">
        <f>COUNTA(AK20:AK22)</f>
        <v>2</v>
      </c>
      <c r="AK20" t="s">
        <v>347</v>
      </c>
      <c r="AL20" t="s">
        <v>351</v>
      </c>
      <c r="AN20" t="s">
        <v>350</v>
      </c>
      <c r="AO20">
        <f>COUNTA(AP20:AP22)</f>
        <v>2</v>
      </c>
      <c r="AP20" t="s">
        <v>347</v>
      </c>
      <c r="AQ20" t="s">
        <v>351</v>
      </c>
    </row>
    <row r="21" spans="3:68">
      <c r="C21" t="s">
        <v>263</v>
      </c>
      <c r="L21" t="s">
        <v>286</v>
      </c>
      <c r="Q21" t="s">
        <v>296</v>
      </c>
      <c r="R21" t="s">
        <v>307</v>
      </c>
      <c r="U21" t="s">
        <v>314</v>
      </c>
      <c r="AE21" t="s">
        <v>352</v>
      </c>
      <c r="AF21" t="s">
        <v>351</v>
      </c>
      <c r="AK21" t="s">
        <v>352</v>
      </c>
      <c r="AL21" t="s">
        <v>351</v>
      </c>
      <c r="AP21" t="s">
        <v>352</v>
      </c>
      <c r="AQ21" t="s">
        <v>351</v>
      </c>
      <c r="AX21" t="s">
        <v>256</v>
      </c>
      <c r="AY21">
        <f>COUNTA(AZ21:AZ22)</f>
        <v>2</v>
      </c>
      <c r="AZ21" t="s">
        <v>182</v>
      </c>
      <c r="BA21" t="s">
        <v>403</v>
      </c>
      <c r="BM21" t="s">
        <v>256</v>
      </c>
      <c r="BN21">
        <f>COUNTA(BO21:BO25)</f>
        <v>4</v>
      </c>
      <c r="BO21" t="s">
        <v>429</v>
      </c>
      <c r="BP21" t="s">
        <v>433</v>
      </c>
    </row>
    <row r="22" spans="3:68">
      <c r="Q22" t="s">
        <v>260</v>
      </c>
      <c r="R22" t="s">
        <v>330</v>
      </c>
      <c r="U22" t="s">
        <v>329</v>
      </c>
      <c r="AZ22" t="s">
        <v>401</v>
      </c>
      <c r="BA22" t="s">
        <v>404</v>
      </c>
      <c r="BO22" t="s">
        <v>430</v>
      </c>
      <c r="BP22" t="s">
        <v>434</v>
      </c>
    </row>
    <row r="23" spans="3:68">
      <c r="C23" t="s">
        <v>264</v>
      </c>
      <c r="N23" t="s">
        <v>286</v>
      </c>
      <c r="BO23" t="s">
        <v>431</v>
      </c>
      <c r="BP23" t="s">
        <v>435</v>
      </c>
    </row>
    <row r="24" spans="3:68">
      <c r="C24" t="s">
        <v>265</v>
      </c>
      <c r="N24" t="s">
        <v>286</v>
      </c>
      <c r="Q24" t="s">
        <v>257</v>
      </c>
      <c r="R24" t="s">
        <v>302</v>
      </c>
      <c r="U24" t="s">
        <v>317</v>
      </c>
      <c r="AX24" t="s">
        <v>257</v>
      </c>
      <c r="AY24">
        <f>COUNTA(AZ24:AZ25)</f>
        <v>1</v>
      </c>
      <c r="AZ24" t="s">
        <v>348</v>
      </c>
      <c r="BA24" t="s">
        <v>349</v>
      </c>
      <c r="BO24" t="s">
        <v>432</v>
      </c>
      <c r="BP24" t="s">
        <v>436</v>
      </c>
    </row>
    <row r="25" spans="3:68">
      <c r="C25" t="s">
        <v>266</v>
      </c>
      <c r="N25" t="s">
        <v>286</v>
      </c>
      <c r="R25" t="s">
        <v>294</v>
      </c>
      <c r="U25" t="s">
        <v>318</v>
      </c>
      <c r="AN25" t="s">
        <v>392</v>
      </c>
    </row>
    <row r="26" spans="3:68">
      <c r="C26" t="s">
        <v>267</v>
      </c>
      <c r="N26" t="s">
        <v>286</v>
      </c>
      <c r="R26" t="s">
        <v>295</v>
      </c>
      <c r="U26" t="s">
        <v>319</v>
      </c>
      <c r="AN26" t="s">
        <v>393</v>
      </c>
      <c r="AX26" t="s">
        <v>350</v>
      </c>
      <c r="AY26">
        <f>COUNTA(AZ26:AZ27)</f>
        <v>2</v>
      </c>
      <c r="AZ26" t="s">
        <v>347</v>
      </c>
      <c r="BA26" t="s">
        <v>351</v>
      </c>
      <c r="BM26" t="s">
        <v>257</v>
      </c>
      <c r="BN26">
        <f>COUNTA(BO26:BO31)</f>
        <v>5</v>
      </c>
      <c r="BO26" t="s">
        <v>437</v>
      </c>
      <c r="BP26" t="s">
        <v>442</v>
      </c>
    </row>
    <row r="27" spans="3:68">
      <c r="R27" t="s">
        <v>304</v>
      </c>
      <c r="U27" t="s">
        <v>320</v>
      </c>
      <c r="AN27" t="s">
        <v>394</v>
      </c>
      <c r="AZ27" t="s">
        <v>352</v>
      </c>
      <c r="BA27" t="s">
        <v>351</v>
      </c>
      <c r="BO27" t="s">
        <v>438</v>
      </c>
      <c r="BP27" t="s">
        <v>444</v>
      </c>
    </row>
    <row r="28" spans="3:68">
      <c r="C28" t="s">
        <v>275</v>
      </c>
      <c r="O28" t="s">
        <v>286</v>
      </c>
      <c r="R28" t="s">
        <v>305</v>
      </c>
      <c r="U28" t="s">
        <v>321</v>
      </c>
      <c r="AN28" t="s">
        <v>395</v>
      </c>
      <c r="BO28" t="s">
        <v>439</v>
      </c>
      <c r="BP28" t="s">
        <v>445</v>
      </c>
    </row>
    <row r="29" spans="3:68">
      <c r="C29" t="s">
        <v>276</v>
      </c>
      <c r="O29" t="s">
        <v>286</v>
      </c>
      <c r="Q29" t="s">
        <v>296</v>
      </c>
      <c r="R29" t="s">
        <v>306</v>
      </c>
      <c r="U29" t="s">
        <v>322</v>
      </c>
      <c r="AO29" t="s">
        <v>386</v>
      </c>
      <c r="BO29" t="s">
        <v>440</v>
      </c>
      <c r="BP29" t="s">
        <v>446</v>
      </c>
    </row>
    <row r="30" spans="3:68">
      <c r="C30" t="s">
        <v>268</v>
      </c>
      <c r="O30" t="s">
        <v>286</v>
      </c>
      <c r="Q30" t="s">
        <v>260</v>
      </c>
      <c r="R30" t="s">
        <v>315</v>
      </c>
      <c r="U30" t="s">
        <v>316</v>
      </c>
      <c r="AO30" t="s">
        <v>387</v>
      </c>
      <c r="BO30" t="s">
        <v>441</v>
      </c>
      <c r="BP30" t="s">
        <v>447</v>
      </c>
    </row>
    <row r="31" spans="3:68">
      <c r="C31" t="s">
        <v>269</v>
      </c>
      <c r="O31" t="s">
        <v>286</v>
      </c>
      <c r="AO31" t="s">
        <v>388</v>
      </c>
      <c r="AZ31" t="s">
        <v>381</v>
      </c>
    </row>
    <row r="32" spans="3:68">
      <c r="C32" t="s">
        <v>270</v>
      </c>
      <c r="O32" t="s">
        <v>286</v>
      </c>
      <c r="AO32" t="s">
        <v>389</v>
      </c>
      <c r="AS32" t="s">
        <v>263</v>
      </c>
      <c r="AT32" t="s">
        <v>332</v>
      </c>
      <c r="AZ32" t="s">
        <v>382</v>
      </c>
      <c r="BM32" t="s">
        <v>350</v>
      </c>
      <c r="BN32">
        <f>COUNTA(BO32:BO33)</f>
        <v>2</v>
      </c>
      <c r="BO32" t="s">
        <v>347</v>
      </c>
      <c r="BP32" t="s">
        <v>443</v>
      </c>
    </row>
    <row r="33" spans="3:68">
      <c r="C33" t="s">
        <v>271</v>
      </c>
      <c r="O33" t="s">
        <v>286</v>
      </c>
      <c r="AO33" t="s">
        <v>390</v>
      </c>
      <c r="AT33" t="s">
        <v>333</v>
      </c>
      <c r="AZ33" t="s">
        <v>383</v>
      </c>
      <c r="BO33" t="s">
        <v>352</v>
      </c>
      <c r="BP33" t="s">
        <v>351</v>
      </c>
    </row>
    <row r="34" spans="3:68">
      <c r="C34" t="s">
        <v>272</v>
      </c>
      <c r="K34" t="s">
        <v>286</v>
      </c>
      <c r="AO34" t="s">
        <v>391</v>
      </c>
      <c r="AT34" t="s">
        <v>334</v>
      </c>
      <c r="AZ34" t="s">
        <v>384</v>
      </c>
    </row>
    <row r="35" spans="3:68">
      <c r="C35" t="s">
        <v>273</v>
      </c>
      <c r="K35" t="s">
        <v>286</v>
      </c>
      <c r="R35" t="s">
        <v>336</v>
      </c>
      <c r="S35" t="s">
        <v>342</v>
      </c>
      <c r="T35">
        <v>5</v>
      </c>
      <c r="AT35" t="s">
        <v>335</v>
      </c>
      <c r="BA35" t="s">
        <v>396</v>
      </c>
      <c r="BM35" t="s">
        <v>448</v>
      </c>
      <c r="BN35">
        <f>COUNTA(BO35:BO45)</f>
        <v>10</v>
      </c>
      <c r="BO35" t="s">
        <v>449</v>
      </c>
      <c r="BP35" t="s">
        <v>459</v>
      </c>
    </row>
    <row r="36" spans="3:68">
      <c r="S36" t="s">
        <v>337</v>
      </c>
      <c r="T36">
        <v>4.5</v>
      </c>
      <c r="BA36" t="s">
        <v>397</v>
      </c>
      <c r="BO36" t="s">
        <v>450</v>
      </c>
      <c r="BP36" t="s">
        <v>460</v>
      </c>
    </row>
    <row r="37" spans="3:68">
      <c r="C37" t="s">
        <v>274</v>
      </c>
      <c r="M37" t="s">
        <v>286</v>
      </c>
      <c r="S37" t="s">
        <v>338</v>
      </c>
      <c r="T37">
        <v>5.5</v>
      </c>
      <c r="BA37" t="s">
        <v>388</v>
      </c>
      <c r="BC37" t="s">
        <v>390</v>
      </c>
      <c r="BO37" t="s">
        <v>451</v>
      </c>
      <c r="BP37" t="s">
        <v>461</v>
      </c>
    </row>
    <row r="38" spans="3:68">
      <c r="BA38" t="s">
        <v>389</v>
      </c>
      <c r="BC38" t="s">
        <v>391</v>
      </c>
      <c r="BO38" t="s">
        <v>452</v>
      </c>
      <c r="BP38" t="s">
        <v>462</v>
      </c>
    </row>
    <row r="39" spans="3:68">
      <c r="C39" t="s">
        <v>288</v>
      </c>
      <c r="P39" t="s">
        <v>286</v>
      </c>
      <c r="R39" t="s">
        <v>341</v>
      </c>
      <c r="S39">
        <f>COUNTA(T39:T41)</f>
        <v>2</v>
      </c>
      <c r="T39" t="s">
        <v>343</v>
      </c>
      <c r="U39" t="s">
        <v>346</v>
      </c>
      <c r="AZ39" t="s">
        <v>418</v>
      </c>
      <c r="BO39" t="s">
        <v>453</v>
      </c>
      <c r="BP39" t="s">
        <v>463</v>
      </c>
    </row>
    <row r="40" spans="3:68">
      <c r="T40" t="s">
        <v>347</v>
      </c>
      <c r="U40" t="s">
        <v>351</v>
      </c>
      <c r="AZ40" t="s">
        <v>407</v>
      </c>
      <c r="BO40" t="s">
        <v>454</v>
      </c>
      <c r="BP40" t="s">
        <v>464</v>
      </c>
    </row>
    <row r="41" spans="3:68">
      <c r="AZ41" t="s">
        <v>408</v>
      </c>
      <c r="BO41" t="s">
        <v>455</v>
      </c>
      <c r="BP41" t="s">
        <v>465</v>
      </c>
    </row>
    <row r="42" spans="3:68">
      <c r="R42" t="s">
        <v>340</v>
      </c>
      <c r="S42">
        <f>COUNTA(T42:T43)</f>
        <v>1</v>
      </c>
      <c r="T42" t="s">
        <v>344</v>
      </c>
      <c r="U42" t="s">
        <v>403</v>
      </c>
      <c r="AZ42" t="s">
        <v>409</v>
      </c>
      <c r="BO42" t="s">
        <v>456</v>
      </c>
      <c r="BP42" t="s">
        <v>466</v>
      </c>
    </row>
    <row r="43" spans="3:68">
      <c r="AZ43" t="s">
        <v>410</v>
      </c>
      <c r="BO43" t="s">
        <v>457</v>
      </c>
      <c r="BP43" t="s">
        <v>467</v>
      </c>
    </row>
    <row r="44" spans="3:68">
      <c r="R44" t="s">
        <v>339</v>
      </c>
      <c r="S44">
        <f>COUNTA(T44:T45)</f>
        <v>1</v>
      </c>
      <c r="T44" t="s">
        <v>348</v>
      </c>
      <c r="U44" t="s">
        <v>349</v>
      </c>
      <c r="AZ44" t="s">
        <v>411</v>
      </c>
      <c r="BO44" t="s">
        <v>458</v>
      </c>
      <c r="BP44" t="s">
        <v>468</v>
      </c>
    </row>
    <row r="45" spans="3:68">
      <c r="BA45" t="s">
        <v>385</v>
      </c>
    </row>
    <row r="46" spans="3:68">
      <c r="R46" t="s">
        <v>350</v>
      </c>
      <c r="S46">
        <f>COUNTA(T46:T48)</f>
        <v>2</v>
      </c>
      <c r="T46" t="s">
        <v>347</v>
      </c>
      <c r="U46" t="s">
        <v>351</v>
      </c>
    </row>
    <row r="47" spans="3:68">
      <c r="T47" t="s">
        <v>352</v>
      </c>
      <c r="U47" t="s">
        <v>351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BD50"/>
  <sheetViews>
    <sheetView topLeftCell="K1" zoomScale="55" zoomScaleNormal="55" workbookViewId="0">
      <selection activeCell="BB48" sqref="BB48:BD49"/>
    </sheetView>
  </sheetViews>
  <sheetFormatPr defaultRowHeight="13"/>
  <cols>
    <col min="48" max="48" width="9.81640625" bestFit="1" customWidth="1"/>
  </cols>
  <sheetData>
    <row r="1" spans="3:54">
      <c r="F1" t="s">
        <v>367</v>
      </c>
      <c r="G1" t="s">
        <v>367</v>
      </c>
      <c r="H1" t="s">
        <v>368</v>
      </c>
      <c r="I1" t="s">
        <v>368</v>
      </c>
      <c r="J1" t="s">
        <v>367</v>
      </c>
      <c r="L1" t="s">
        <v>367</v>
      </c>
      <c r="M1" t="s">
        <v>368</v>
      </c>
      <c r="N1" t="s">
        <v>367</v>
      </c>
      <c r="O1" t="s">
        <v>367</v>
      </c>
      <c r="P1" t="s">
        <v>368</v>
      </c>
    </row>
    <row r="2" spans="3:54">
      <c r="F2">
        <v>1</v>
      </c>
      <c r="G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</row>
    <row r="3" spans="3:54">
      <c r="D3" t="s">
        <v>362</v>
      </c>
      <c r="F3" t="s">
        <v>363</v>
      </c>
      <c r="G3" t="s">
        <v>363</v>
      </c>
      <c r="H3" t="s">
        <v>363</v>
      </c>
      <c r="I3" t="s">
        <v>363</v>
      </c>
      <c r="J3" t="s">
        <v>363</v>
      </c>
      <c r="K3" t="s">
        <v>363</v>
      </c>
      <c r="L3" t="s">
        <v>365</v>
      </c>
      <c r="M3" t="s">
        <v>364</v>
      </c>
      <c r="N3" t="s">
        <v>366</v>
      </c>
      <c r="O3" t="s">
        <v>363</v>
      </c>
      <c r="P3" t="s">
        <v>363</v>
      </c>
    </row>
    <row r="4" spans="3:54">
      <c r="D4" t="s">
        <v>356</v>
      </c>
      <c r="F4" t="s">
        <v>353</v>
      </c>
      <c r="G4" t="s">
        <v>353</v>
      </c>
      <c r="H4" t="s">
        <v>353</v>
      </c>
      <c r="I4" t="s">
        <v>33</v>
      </c>
      <c r="J4" t="s">
        <v>353</v>
      </c>
      <c r="K4" t="s">
        <v>353</v>
      </c>
      <c r="L4" t="s">
        <v>353</v>
      </c>
      <c r="M4" t="s">
        <v>33</v>
      </c>
      <c r="N4" t="s">
        <v>33</v>
      </c>
      <c r="O4" t="s">
        <v>353</v>
      </c>
      <c r="P4" t="s">
        <v>33</v>
      </c>
    </row>
    <row r="5" spans="3:54">
      <c r="D5" t="s">
        <v>357</v>
      </c>
      <c r="F5" t="s">
        <v>358</v>
      </c>
      <c r="G5" t="s">
        <v>358</v>
      </c>
      <c r="H5" t="s">
        <v>355</v>
      </c>
      <c r="I5" t="s">
        <v>359</v>
      </c>
      <c r="J5" t="s">
        <v>358</v>
      </c>
      <c r="K5" t="s">
        <v>358</v>
      </c>
      <c r="L5" t="s">
        <v>358</v>
      </c>
      <c r="M5" t="s">
        <v>358</v>
      </c>
      <c r="N5" t="s">
        <v>358</v>
      </c>
      <c r="O5" t="s">
        <v>358</v>
      </c>
      <c r="P5" t="s">
        <v>358</v>
      </c>
    </row>
    <row r="6" spans="3:54">
      <c r="C6" t="s">
        <v>254</v>
      </c>
      <c r="D6" t="s">
        <v>360</v>
      </c>
      <c r="F6" t="s">
        <v>280</v>
      </c>
      <c r="G6" t="s">
        <v>280</v>
      </c>
      <c r="J6" t="s">
        <v>280</v>
      </c>
      <c r="K6" t="s">
        <v>280</v>
      </c>
      <c r="L6" t="s">
        <v>285</v>
      </c>
      <c r="M6" t="s">
        <v>285</v>
      </c>
      <c r="N6" t="s">
        <v>285</v>
      </c>
      <c r="O6" t="s">
        <v>283</v>
      </c>
      <c r="P6" t="s">
        <v>289</v>
      </c>
      <c r="U6" t="s">
        <v>280</v>
      </c>
      <c r="AD6" t="s">
        <v>280</v>
      </c>
      <c r="AJ6" t="s">
        <v>280</v>
      </c>
      <c r="AO6" t="s">
        <v>280</v>
      </c>
      <c r="AT6" t="s">
        <v>285</v>
      </c>
      <c r="AY6" t="s">
        <v>283</v>
      </c>
    </row>
    <row r="7" spans="3:54">
      <c r="F7" t="s">
        <v>279</v>
      </c>
      <c r="G7" t="s">
        <v>28</v>
      </c>
      <c r="J7" t="s">
        <v>281</v>
      </c>
      <c r="K7" t="s">
        <v>282</v>
      </c>
      <c r="L7" t="s">
        <v>279</v>
      </c>
      <c r="M7" t="s">
        <v>282</v>
      </c>
      <c r="N7" t="s">
        <v>287</v>
      </c>
      <c r="O7" t="s">
        <v>284</v>
      </c>
      <c r="U7" t="s">
        <v>279</v>
      </c>
      <c r="AD7" t="s">
        <v>28</v>
      </c>
      <c r="AJ7" t="s">
        <v>281</v>
      </c>
      <c r="AO7" t="s">
        <v>282</v>
      </c>
      <c r="AT7" t="s">
        <v>279</v>
      </c>
      <c r="AY7" t="s">
        <v>282</v>
      </c>
    </row>
    <row r="8" spans="3:54">
      <c r="C8" t="s">
        <v>27</v>
      </c>
      <c r="F8" t="s">
        <v>286</v>
      </c>
      <c r="G8" t="s">
        <v>286</v>
      </c>
      <c r="I8" t="s">
        <v>286</v>
      </c>
      <c r="J8" t="s">
        <v>286</v>
      </c>
      <c r="K8" t="s">
        <v>286</v>
      </c>
    </row>
    <row r="9" spans="3:54">
      <c r="C9" t="s">
        <v>255</v>
      </c>
      <c r="H9" t="s">
        <v>286</v>
      </c>
      <c r="O9" t="s">
        <v>286</v>
      </c>
      <c r="S9" t="s">
        <v>279</v>
      </c>
      <c r="T9" t="s">
        <v>476</v>
      </c>
      <c r="U9">
        <v>5</v>
      </c>
      <c r="X9" t="s">
        <v>36</v>
      </c>
      <c r="AD9" t="s">
        <v>28</v>
      </c>
      <c r="AE9" t="s">
        <v>33</v>
      </c>
      <c r="AF9">
        <v>25</v>
      </c>
      <c r="AJ9" t="s">
        <v>281</v>
      </c>
      <c r="AK9" t="s">
        <v>33</v>
      </c>
      <c r="AL9" t="s">
        <v>425</v>
      </c>
      <c r="AO9" t="s">
        <v>369</v>
      </c>
      <c r="AP9" t="s">
        <v>33</v>
      </c>
      <c r="AQ9">
        <v>2.5</v>
      </c>
      <c r="AT9" t="s">
        <v>370</v>
      </c>
      <c r="AU9" t="s">
        <v>373</v>
      </c>
      <c r="AV9">
        <v>10000000</v>
      </c>
      <c r="AY9" t="s">
        <v>398</v>
      </c>
      <c r="AZ9" t="s">
        <v>399</v>
      </c>
      <c r="BA9" s="20">
        <v>1E-3</v>
      </c>
      <c r="BB9" t="str">
        <f>BA9*1000&amp;"ms"</f>
        <v>1ms</v>
      </c>
    </row>
    <row r="10" spans="3:54">
      <c r="C10" t="s">
        <v>256</v>
      </c>
      <c r="F10" t="s">
        <v>286</v>
      </c>
      <c r="G10" t="s">
        <v>286</v>
      </c>
      <c r="H10" t="s">
        <v>286</v>
      </c>
      <c r="I10" t="s">
        <v>286</v>
      </c>
      <c r="J10" t="s">
        <v>286</v>
      </c>
      <c r="K10" t="s">
        <v>286</v>
      </c>
      <c r="T10" t="s">
        <v>506</v>
      </c>
      <c r="U10">
        <v>4.5</v>
      </c>
      <c r="X10" t="s">
        <v>347</v>
      </c>
      <c r="AE10" t="s">
        <v>337</v>
      </c>
      <c r="AF10">
        <v>-40</v>
      </c>
      <c r="AK10" t="s">
        <v>337</v>
      </c>
      <c r="AL10" t="s">
        <v>426</v>
      </c>
      <c r="AP10" t="s">
        <v>337</v>
      </c>
      <c r="AQ10">
        <v>0</v>
      </c>
      <c r="AU10" t="s">
        <v>371</v>
      </c>
      <c r="AV10">
        <v>100000</v>
      </c>
      <c r="AW10" t="s">
        <v>375</v>
      </c>
      <c r="AZ10" t="s">
        <v>400</v>
      </c>
      <c r="BA10" s="20">
        <v>1.0000000000000001E-9</v>
      </c>
      <c r="BB10" t="str">
        <f>BA10*1000000000&amp;"ns"</f>
        <v>1ns</v>
      </c>
    </row>
    <row r="11" spans="3:54">
      <c r="C11" t="s">
        <v>257</v>
      </c>
      <c r="F11" t="s">
        <v>286</v>
      </c>
      <c r="G11" t="s">
        <v>286</v>
      </c>
      <c r="H11" t="s">
        <v>286</v>
      </c>
      <c r="I11" t="s">
        <v>286</v>
      </c>
      <c r="J11" t="s">
        <v>286</v>
      </c>
      <c r="K11" t="s">
        <v>286</v>
      </c>
      <c r="T11" t="s">
        <v>477</v>
      </c>
      <c r="U11">
        <v>5.5</v>
      </c>
      <c r="AE11" t="s">
        <v>338</v>
      </c>
      <c r="AF11">
        <v>150</v>
      </c>
      <c r="AK11" t="s">
        <v>338</v>
      </c>
      <c r="AL11">
        <v>0</v>
      </c>
      <c r="AP11" t="s">
        <v>338</v>
      </c>
      <c r="AQ11">
        <v>5</v>
      </c>
      <c r="AU11" t="s">
        <v>372</v>
      </c>
      <c r="AV11">
        <v>1000000</v>
      </c>
      <c r="AW11" t="s">
        <v>376</v>
      </c>
      <c r="AZ11" t="s">
        <v>402</v>
      </c>
      <c r="BA11">
        <v>5</v>
      </c>
    </row>
    <row r="12" spans="3:54">
      <c r="AZ12" t="s">
        <v>405</v>
      </c>
      <c r="BA12">
        <v>0.9</v>
      </c>
    </row>
    <row r="13" spans="3:54">
      <c r="C13" t="s">
        <v>277</v>
      </c>
      <c r="I13" t="s">
        <v>286</v>
      </c>
      <c r="S13" t="s">
        <v>27</v>
      </c>
      <c r="T13">
        <f>COUNTA(U13:U15)</f>
        <v>2</v>
      </c>
      <c r="U13" t="s">
        <v>36</v>
      </c>
      <c r="V13" t="s">
        <v>346</v>
      </c>
      <c r="AD13" t="s">
        <v>27</v>
      </c>
      <c r="AE13">
        <f>COUNTA(AF13:AF15)</f>
        <v>2</v>
      </c>
      <c r="AF13" t="s">
        <v>36</v>
      </c>
      <c r="AG13" t="s">
        <v>346</v>
      </c>
      <c r="AJ13" t="s">
        <v>27</v>
      </c>
      <c r="AK13">
        <f>COUNTA(AL13:AL15)</f>
        <v>2</v>
      </c>
      <c r="AL13" t="s">
        <v>36</v>
      </c>
      <c r="AM13" t="s">
        <v>346</v>
      </c>
      <c r="AO13" t="s">
        <v>27</v>
      </c>
      <c r="AP13">
        <f>COUNTA(AQ13:AQ15)</f>
        <v>2</v>
      </c>
      <c r="AQ13" t="s">
        <v>36</v>
      </c>
      <c r="AR13" t="s">
        <v>346</v>
      </c>
      <c r="AT13" t="s">
        <v>263</v>
      </c>
      <c r="AU13">
        <f>COUNTA(AV13:AV16)</f>
        <v>3</v>
      </c>
      <c r="AV13" t="s">
        <v>374</v>
      </c>
      <c r="AW13" t="s">
        <v>345</v>
      </c>
      <c r="AZ13" t="s">
        <v>406</v>
      </c>
      <c r="BA13">
        <v>0.1</v>
      </c>
    </row>
    <row r="14" spans="3:54">
      <c r="C14" t="s">
        <v>278</v>
      </c>
      <c r="I14" t="s">
        <v>286</v>
      </c>
      <c r="S14" t="s">
        <v>27</v>
      </c>
      <c r="U14" t="s">
        <v>347</v>
      </c>
      <c r="V14" t="s">
        <v>419</v>
      </c>
      <c r="AF14" t="s">
        <v>347</v>
      </c>
      <c r="AG14" t="s">
        <v>347</v>
      </c>
      <c r="AL14" t="s">
        <v>347</v>
      </c>
      <c r="AM14" t="s">
        <v>347</v>
      </c>
      <c r="AQ14" t="s">
        <v>347</v>
      </c>
      <c r="AR14" t="s">
        <v>347</v>
      </c>
      <c r="AV14" t="s">
        <v>377</v>
      </c>
      <c r="AW14" t="s">
        <v>378</v>
      </c>
      <c r="AZ14" t="s">
        <v>282</v>
      </c>
      <c r="BA14" t="s">
        <v>413</v>
      </c>
    </row>
    <row r="15" spans="3:54">
      <c r="C15" t="s">
        <v>258</v>
      </c>
      <c r="I15" t="s">
        <v>286</v>
      </c>
      <c r="AV15" t="s">
        <v>379</v>
      </c>
      <c r="AW15" t="s">
        <v>380</v>
      </c>
      <c r="AZ15" t="s">
        <v>279</v>
      </c>
      <c r="BA15" t="s">
        <v>414</v>
      </c>
    </row>
    <row r="16" spans="3:54">
      <c r="S16" t="s">
        <v>256</v>
      </c>
      <c r="T16">
        <f>COUNTA(U16:U17)</f>
        <v>1</v>
      </c>
      <c r="U16" t="s">
        <v>344</v>
      </c>
      <c r="V16" t="s">
        <v>403</v>
      </c>
      <c r="AD16" t="s">
        <v>256</v>
      </c>
      <c r="AE16">
        <f>COUNTA(AF16:AF17)</f>
        <v>1</v>
      </c>
      <c r="AF16" t="s">
        <v>344</v>
      </c>
      <c r="AG16" t="s">
        <v>403</v>
      </c>
      <c r="AJ16" t="s">
        <v>256</v>
      </c>
      <c r="AK16">
        <f>COUNTA(AL16:AL17)</f>
        <v>1</v>
      </c>
      <c r="AL16" t="s">
        <v>344</v>
      </c>
      <c r="AM16" t="s">
        <v>403</v>
      </c>
      <c r="AO16" t="s">
        <v>256</v>
      </c>
      <c r="AP16">
        <f>COUNTA(AQ16:AQ17)</f>
        <v>1</v>
      </c>
      <c r="AQ16" t="s">
        <v>344</v>
      </c>
      <c r="AR16" t="s">
        <v>403</v>
      </c>
      <c r="AZ16" t="s">
        <v>412</v>
      </c>
      <c r="BA16" t="s">
        <v>415</v>
      </c>
    </row>
    <row r="17" spans="3:54">
      <c r="C17" t="s">
        <v>259</v>
      </c>
      <c r="G17" t="s">
        <v>286</v>
      </c>
      <c r="H17" t="s">
        <v>286</v>
      </c>
      <c r="I17" t="s">
        <v>286</v>
      </c>
      <c r="AT17" t="s">
        <v>350</v>
      </c>
      <c r="AU17">
        <f>COUNTA(AV17:AV20)</f>
        <v>2</v>
      </c>
      <c r="AV17" t="s">
        <v>347</v>
      </c>
      <c r="AW17" t="s">
        <v>351</v>
      </c>
    </row>
    <row r="18" spans="3:54">
      <c r="C18" t="s">
        <v>260</v>
      </c>
      <c r="F18" t="s">
        <v>286</v>
      </c>
      <c r="S18" t="s">
        <v>257</v>
      </c>
      <c r="T18">
        <f>COUNTA(U18:U19)</f>
        <v>1</v>
      </c>
      <c r="U18" t="s">
        <v>348</v>
      </c>
      <c r="V18" t="s">
        <v>349</v>
      </c>
      <c r="AD18" t="s">
        <v>257</v>
      </c>
      <c r="AE18">
        <f>COUNTA(AF18:AF19)</f>
        <v>1</v>
      </c>
      <c r="AF18" t="s">
        <v>348</v>
      </c>
      <c r="AG18" t="s">
        <v>349</v>
      </c>
      <c r="AJ18" t="s">
        <v>257</v>
      </c>
      <c r="AK18">
        <f>COUNTA(AL18:AL19)</f>
        <v>1</v>
      </c>
      <c r="AL18" t="s">
        <v>348</v>
      </c>
      <c r="AM18" t="s">
        <v>349</v>
      </c>
      <c r="AO18" t="s">
        <v>257</v>
      </c>
      <c r="AP18">
        <f>COUNTA(AQ18:AQ19)</f>
        <v>1</v>
      </c>
      <c r="AQ18" t="s">
        <v>348</v>
      </c>
      <c r="AR18" t="s">
        <v>349</v>
      </c>
      <c r="AV18" t="s">
        <v>352</v>
      </c>
      <c r="AW18" t="s">
        <v>351</v>
      </c>
      <c r="AY18" t="s">
        <v>27</v>
      </c>
      <c r="AZ18">
        <f>COUNTA(BA18:BA20)</f>
        <v>2</v>
      </c>
      <c r="BA18" t="s">
        <v>36</v>
      </c>
      <c r="BB18" t="s">
        <v>346</v>
      </c>
    </row>
    <row r="19" spans="3:54">
      <c r="C19" t="s">
        <v>261</v>
      </c>
      <c r="F19" t="s">
        <v>286</v>
      </c>
      <c r="BA19" t="s">
        <v>347</v>
      </c>
      <c r="BB19" t="s">
        <v>347</v>
      </c>
    </row>
    <row r="20" spans="3:54">
      <c r="C20" t="s">
        <v>262</v>
      </c>
      <c r="J20" t="s">
        <v>286</v>
      </c>
      <c r="S20" t="s">
        <v>350</v>
      </c>
      <c r="T20">
        <f>COUNTA(U20:U26)</f>
        <v>2</v>
      </c>
      <c r="U20" t="s">
        <v>347</v>
      </c>
      <c r="V20" t="s">
        <v>351</v>
      </c>
      <c r="AD20" t="s">
        <v>350</v>
      </c>
      <c r="AE20">
        <f>COUNTA(AF20:AF22)</f>
        <v>2</v>
      </c>
      <c r="AF20" t="s">
        <v>347</v>
      </c>
      <c r="AG20" t="s">
        <v>351</v>
      </c>
      <c r="AJ20" t="s">
        <v>350</v>
      </c>
      <c r="AK20">
        <f>COUNTA(AL20:AL22)</f>
        <v>2</v>
      </c>
      <c r="AL20" t="s">
        <v>347</v>
      </c>
      <c r="AM20" t="s">
        <v>351</v>
      </c>
      <c r="AO20" t="s">
        <v>350</v>
      </c>
      <c r="AP20">
        <f>COUNTA(AQ20:AQ22)</f>
        <v>2</v>
      </c>
      <c r="AQ20" t="s">
        <v>347</v>
      </c>
      <c r="AR20" t="s">
        <v>351</v>
      </c>
    </row>
    <row r="21" spans="3:54">
      <c r="C21" t="s">
        <v>263</v>
      </c>
      <c r="L21" t="s">
        <v>286</v>
      </c>
      <c r="U21" t="s">
        <v>352</v>
      </c>
      <c r="V21" t="s">
        <v>351</v>
      </c>
      <c r="AF21" t="s">
        <v>352</v>
      </c>
      <c r="AG21" t="s">
        <v>351</v>
      </c>
      <c r="AL21" t="s">
        <v>352</v>
      </c>
      <c r="AM21" t="s">
        <v>351</v>
      </c>
      <c r="AQ21" t="s">
        <v>352</v>
      </c>
      <c r="AR21" t="s">
        <v>351</v>
      </c>
      <c r="AY21" t="s">
        <v>256</v>
      </c>
      <c r="AZ21">
        <f>COUNTA(BA21:BA22)</f>
        <v>2</v>
      </c>
      <c r="BA21" t="s">
        <v>182</v>
      </c>
      <c r="BB21" t="s">
        <v>403</v>
      </c>
    </row>
    <row r="22" spans="3:54">
      <c r="BA22" t="s">
        <v>380</v>
      </c>
      <c r="BB22" t="s">
        <v>404</v>
      </c>
    </row>
    <row r="23" spans="3:54">
      <c r="C23" t="s">
        <v>264</v>
      </c>
      <c r="N23" t="s">
        <v>286</v>
      </c>
      <c r="AJ23" t="s">
        <v>420</v>
      </c>
      <c r="AK23">
        <f>COUNTA(AL23:AL24)</f>
        <v>1</v>
      </c>
      <c r="AL23" t="s">
        <v>421</v>
      </c>
      <c r="AM23">
        <v>3.2</v>
      </c>
    </row>
    <row r="24" spans="3:54">
      <c r="C24" t="s">
        <v>265</v>
      </c>
      <c r="N24" t="s">
        <v>286</v>
      </c>
      <c r="AY24" t="s">
        <v>257</v>
      </c>
      <c r="AZ24">
        <f>COUNTA(BA24:BA25)</f>
        <v>1</v>
      </c>
      <c r="BA24" t="s">
        <v>348</v>
      </c>
      <c r="BB24" t="s">
        <v>349</v>
      </c>
    </row>
    <row r="25" spans="3:54">
      <c r="C25" t="s">
        <v>266</v>
      </c>
      <c r="N25" t="s">
        <v>286</v>
      </c>
      <c r="AJ25" t="s">
        <v>422</v>
      </c>
      <c r="AK25">
        <f>COUNTA(AL25:AL27)</f>
        <v>2</v>
      </c>
      <c r="AL25" t="s">
        <v>348</v>
      </c>
      <c r="AM25" t="s">
        <v>423</v>
      </c>
      <c r="AO25" t="s">
        <v>392</v>
      </c>
    </row>
    <row r="26" spans="3:54">
      <c r="C26" t="s">
        <v>267</v>
      </c>
      <c r="N26" t="s">
        <v>286</v>
      </c>
      <c r="AL26" t="s">
        <v>348</v>
      </c>
      <c r="AM26" t="s">
        <v>424</v>
      </c>
      <c r="AO26" t="s">
        <v>393</v>
      </c>
      <c r="AY26" t="s">
        <v>350</v>
      </c>
      <c r="AZ26">
        <f>COUNTA(BA26:BA27)</f>
        <v>2</v>
      </c>
      <c r="BA26" t="s">
        <v>347</v>
      </c>
      <c r="BB26" t="s">
        <v>351</v>
      </c>
    </row>
    <row r="27" spans="3:54">
      <c r="S27" t="s">
        <v>254</v>
      </c>
      <c r="U27" t="s">
        <v>280</v>
      </c>
      <c r="AO27" t="s">
        <v>394</v>
      </c>
      <c r="BA27" t="s">
        <v>352</v>
      </c>
      <c r="BB27" t="s">
        <v>351</v>
      </c>
    </row>
    <row r="28" spans="3:54">
      <c r="C28" t="s">
        <v>275</v>
      </c>
      <c r="O28" t="s">
        <v>286</v>
      </c>
      <c r="U28" t="s">
        <v>279</v>
      </c>
      <c r="AO28" t="s">
        <v>395</v>
      </c>
    </row>
    <row r="29" spans="3:54">
      <c r="C29" t="s">
        <v>276</v>
      </c>
      <c r="O29" t="s">
        <v>286</v>
      </c>
      <c r="Q29" t="s">
        <v>27</v>
      </c>
      <c r="S29" t="s">
        <v>511</v>
      </c>
      <c r="V29" t="s">
        <v>470</v>
      </c>
      <c r="AP29" t="s">
        <v>386</v>
      </c>
    </row>
    <row r="30" spans="3:54">
      <c r="C30" t="s">
        <v>268</v>
      </c>
      <c r="O30" t="s">
        <v>286</v>
      </c>
      <c r="S30" t="s">
        <v>512</v>
      </c>
      <c r="V30" t="s">
        <v>507</v>
      </c>
      <c r="AP30" t="s">
        <v>387</v>
      </c>
    </row>
    <row r="31" spans="3:54">
      <c r="C31" t="s">
        <v>269</v>
      </c>
      <c r="O31" t="s">
        <v>286</v>
      </c>
      <c r="S31" t="s">
        <v>513</v>
      </c>
      <c r="V31" t="s">
        <v>471</v>
      </c>
      <c r="AP31" t="s">
        <v>388</v>
      </c>
      <c r="BA31" t="s">
        <v>381</v>
      </c>
    </row>
    <row r="32" spans="3:54">
      <c r="C32" t="s">
        <v>270</v>
      </c>
      <c r="O32" t="s">
        <v>286</v>
      </c>
      <c r="S32" t="s">
        <v>472</v>
      </c>
      <c r="V32" t="s">
        <v>508</v>
      </c>
      <c r="AP32" t="s">
        <v>389</v>
      </c>
      <c r="AT32" t="s">
        <v>263</v>
      </c>
      <c r="AU32" t="s">
        <v>332</v>
      </c>
      <c r="BA32" t="s">
        <v>382</v>
      </c>
    </row>
    <row r="33" spans="3:56">
      <c r="C33" t="s">
        <v>271</v>
      </c>
      <c r="O33" t="s">
        <v>286</v>
      </c>
      <c r="S33" t="s">
        <v>473</v>
      </c>
      <c r="V33" t="s">
        <v>509</v>
      </c>
      <c r="AP33" t="s">
        <v>390</v>
      </c>
      <c r="AU33" t="s">
        <v>333</v>
      </c>
      <c r="BA33" t="s">
        <v>383</v>
      </c>
    </row>
    <row r="34" spans="3:56">
      <c r="C34" t="s">
        <v>272</v>
      </c>
      <c r="K34" t="s">
        <v>286</v>
      </c>
      <c r="R34" t="s">
        <v>296</v>
      </c>
      <c r="S34" t="s">
        <v>474</v>
      </c>
      <c r="V34" t="s">
        <v>510</v>
      </c>
      <c r="AP34" t="s">
        <v>391</v>
      </c>
      <c r="AU34" t="s">
        <v>334</v>
      </c>
      <c r="BA34" t="s">
        <v>384</v>
      </c>
    </row>
    <row r="35" spans="3:56">
      <c r="C35" t="s">
        <v>273</v>
      </c>
      <c r="K35" t="s">
        <v>286</v>
      </c>
      <c r="R35" t="s">
        <v>260</v>
      </c>
      <c r="S35" t="s">
        <v>514</v>
      </c>
      <c r="V35" t="s">
        <v>475</v>
      </c>
      <c r="AU35" t="s">
        <v>335</v>
      </c>
      <c r="BB35" t="s">
        <v>396</v>
      </c>
    </row>
    <row r="36" spans="3:56">
      <c r="BB36" t="s">
        <v>397</v>
      </c>
    </row>
    <row r="37" spans="3:56">
      <c r="C37" t="s">
        <v>274</v>
      </c>
      <c r="M37" t="s">
        <v>286</v>
      </c>
      <c r="Q37" t="s">
        <v>256</v>
      </c>
      <c r="S37" t="s">
        <v>478</v>
      </c>
      <c r="V37" t="s">
        <v>479</v>
      </c>
      <c r="BB37" t="s">
        <v>388</v>
      </c>
      <c r="BD37" t="s">
        <v>390</v>
      </c>
    </row>
    <row r="38" spans="3:56">
      <c r="S38" t="s">
        <v>480</v>
      </c>
      <c r="V38" t="s">
        <v>481</v>
      </c>
      <c r="BB38" t="s">
        <v>389</v>
      </c>
      <c r="BD38" t="s">
        <v>391</v>
      </c>
    </row>
    <row r="39" spans="3:56">
      <c r="C39" t="s">
        <v>288</v>
      </c>
      <c r="P39" t="s">
        <v>286</v>
      </c>
      <c r="S39" t="s">
        <v>482</v>
      </c>
      <c r="V39" t="s">
        <v>483</v>
      </c>
      <c r="BA39" t="s">
        <v>418</v>
      </c>
    </row>
    <row r="40" spans="3:56">
      <c r="S40" t="s">
        <v>484</v>
      </c>
      <c r="V40" t="s">
        <v>485</v>
      </c>
      <c r="BA40" t="s">
        <v>407</v>
      </c>
    </row>
    <row r="41" spans="3:56">
      <c r="S41" t="s">
        <v>486</v>
      </c>
      <c r="V41" t="s">
        <v>487</v>
      </c>
      <c r="BA41" t="s">
        <v>408</v>
      </c>
    </row>
    <row r="42" spans="3:56">
      <c r="R42" t="s">
        <v>296</v>
      </c>
      <c r="S42" t="s">
        <v>488</v>
      </c>
      <c r="V42" t="s">
        <v>489</v>
      </c>
      <c r="BA42" t="s">
        <v>409</v>
      </c>
    </row>
    <row r="43" spans="3:56">
      <c r="R43" t="s">
        <v>260</v>
      </c>
      <c r="S43" t="s">
        <v>490</v>
      </c>
      <c r="V43" t="s">
        <v>491</v>
      </c>
      <c r="BA43" t="s">
        <v>410</v>
      </c>
    </row>
    <row r="44" spans="3:56">
      <c r="Q44" t="s">
        <v>257</v>
      </c>
      <c r="S44" t="s">
        <v>492</v>
      </c>
      <c r="V44" t="s">
        <v>493</v>
      </c>
      <c r="BA44" t="s">
        <v>411</v>
      </c>
    </row>
    <row r="45" spans="3:56">
      <c r="S45" t="s">
        <v>494</v>
      </c>
      <c r="V45" t="s">
        <v>495</v>
      </c>
      <c r="BB45" t="s">
        <v>385</v>
      </c>
    </row>
    <row r="46" spans="3:56">
      <c r="S46" t="s">
        <v>496</v>
      </c>
      <c r="V46" t="s">
        <v>497</v>
      </c>
    </row>
    <row r="47" spans="3:56">
      <c r="S47" t="s">
        <v>498</v>
      </c>
      <c r="V47" t="s">
        <v>499</v>
      </c>
    </row>
    <row r="48" spans="3:56">
      <c r="S48" t="s">
        <v>500</v>
      </c>
      <c r="V48" t="s">
        <v>501</v>
      </c>
    </row>
    <row r="49" spans="18:22">
      <c r="R49" t="s">
        <v>296</v>
      </c>
      <c r="S49" t="s">
        <v>502</v>
      </c>
      <c r="V49" t="s">
        <v>503</v>
      </c>
    </row>
    <row r="50" spans="18:22">
      <c r="R50" t="s">
        <v>260</v>
      </c>
      <c r="S50" t="s">
        <v>504</v>
      </c>
      <c r="V50" t="s">
        <v>505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L168"/>
  <sheetViews>
    <sheetView zoomScale="60" zoomScaleNormal="60" workbookViewId="0">
      <selection activeCell="I28" sqref="I28"/>
    </sheetView>
  </sheetViews>
  <sheetFormatPr defaultRowHeight="13"/>
  <cols>
    <col min="15" max="16384" width="8.7265625" style="46"/>
  </cols>
  <sheetData>
    <row r="1" spans="1:38" customFormat="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38" customFormat="1"/>
    <row r="3" spans="1:38" customFormat="1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  <c r="R3" t="s">
        <v>525</v>
      </c>
      <c r="S3">
        <v>0</v>
      </c>
    </row>
    <row r="4" spans="1:38" customFormat="1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  <c r="R4" t="s">
        <v>528</v>
      </c>
      <c r="S4">
        <v>5</v>
      </c>
    </row>
    <row r="5" spans="1:38" customFormat="1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  <c r="R5" t="s">
        <v>529</v>
      </c>
      <c r="S5">
        <v>5</v>
      </c>
    </row>
    <row r="6" spans="1:38" customFormat="1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  <c r="R6" t="s">
        <v>530</v>
      </c>
      <c r="S6">
        <v>5</v>
      </c>
    </row>
    <row r="7" spans="1:38" customFormat="1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  <c r="R7" t="s">
        <v>531</v>
      </c>
      <c r="S7">
        <v>5</v>
      </c>
    </row>
    <row r="8" spans="1:38" customFormat="1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1:38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1:38">
      <c r="D11" t="s">
        <v>152</v>
      </c>
      <c r="E11" t="s">
        <v>66</v>
      </c>
      <c r="F11" t="s">
        <v>251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  <c r="L11" t="s">
        <v>518</v>
      </c>
      <c r="M11" t="s">
        <v>516</v>
      </c>
      <c r="N11" t="s">
        <v>517</v>
      </c>
    </row>
    <row r="12" spans="1:38">
      <c r="D12" t="s">
        <v>253</v>
      </c>
      <c r="E12">
        <v>5</v>
      </c>
      <c r="F12">
        <v>25</v>
      </c>
      <c r="G12">
        <v>2</v>
      </c>
      <c r="H12" t="s">
        <v>62</v>
      </c>
      <c r="I12" t="s">
        <v>33</v>
      </c>
      <c r="J12" t="s">
        <v>33</v>
      </c>
      <c r="K12" t="s">
        <v>33</v>
      </c>
      <c r="M12">
        <v>1.2</v>
      </c>
      <c r="N12">
        <v>7.6</v>
      </c>
    </row>
    <row r="13" spans="1:38">
      <c r="E13">
        <v>4.5</v>
      </c>
      <c r="F13">
        <v>25</v>
      </c>
      <c r="G13">
        <v>2</v>
      </c>
      <c r="H13" t="s">
        <v>62</v>
      </c>
      <c r="I13" t="s">
        <v>33</v>
      </c>
      <c r="J13" t="s">
        <v>33</v>
      </c>
      <c r="K13" t="s">
        <v>33</v>
      </c>
      <c r="M13">
        <v>1.3</v>
      </c>
      <c r="N13">
        <v>7.4</v>
      </c>
    </row>
    <row r="14" spans="1:38">
      <c r="E14">
        <v>5.5</v>
      </c>
      <c r="F14">
        <v>25</v>
      </c>
      <c r="G14">
        <v>2</v>
      </c>
      <c r="H14" t="s">
        <v>62</v>
      </c>
      <c r="I14" t="s">
        <v>33</v>
      </c>
      <c r="J14" t="s">
        <v>33</v>
      </c>
      <c r="K14" t="s">
        <v>33</v>
      </c>
      <c r="M14">
        <v>1.4</v>
      </c>
      <c r="N14">
        <v>7.2</v>
      </c>
    </row>
    <row r="15" spans="1:38">
      <c r="E15">
        <v>5</v>
      </c>
      <c r="F15">
        <v>-40</v>
      </c>
      <c r="G15">
        <v>2</v>
      </c>
      <c r="H15" t="s">
        <v>62</v>
      </c>
      <c r="I15" t="s">
        <v>33</v>
      </c>
      <c r="J15" t="s">
        <v>33</v>
      </c>
      <c r="K15" t="s">
        <v>33</v>
      </c>
      <c r="M15">
        <v>1.5</v>
      </c>
      <c r="N15">
        <v>7</v>
      </c>
    </row>
    <row r="16" spans="1:38">
      <c r="E16">
        <v>4.5</v>
      </c>
      <c r="F16">
        <v>-40</v>
      </c>
      <c r="G16">
        <v>2</v>
      </c>
      <c r="H16" t="s">
        <v>62</v>
      </c>
      <c r="I16" t="s">
        <v>33</v>
      </c>
      <c r="J16" t="s">
        <v>33</v>
      </c>
      <c r="K16" t="s">
        <v>33</v>
      </c>
      <c r="M16">
        <v>1.6</v>
      </c>
      <c r="N16">
        <v>6.8</v>
      </c>
    </row>
    <row r="17" spans="5:14">
      <c r="E17">
        <v>5.5</v>
      </c>
      <c r="F17">
        <v>-40</v>
      </c>
      <c r="G17">
        <v>2</v>
      </c>
      <c r="H17" t="s">
        <v>62</v>
      </c>
      <c r="I17" t="s">
        <v>33</v>
      </c>
      <c r="J17" t="s">
        <v>33</v>
      </c>
      <c r="K17" t="s">
        <v>33</v>
      </c>
      <c r="M17">
        <v>1.7</v>
      </c>
      <c r="N17">
        <v>6.6</v>
      </c>
    </row>
    <row r="18" spans="5:14">
      <c r="E18">
        <v>5</v>
      </c>
      <c r="F18">
        <v>150</v>
      </c>
      <c r="G18">
        <v>2</v>
      </c>
      <c r="H18" t="s">
        <v>62</v>
      </c>
      <c r="I18" t="s">
        <v>33</v>
      </c>
      <c r="J18" t="s">
        <v>33</v>
      </c>
      <c r="K18" t="s">
        <v>33</v>
      </c>
      <c r="M18">
        <v>1.8</v>
      </c>
      <c r="N18">
        <v>6.4</v>
      </c>
    </row>
    <row r="19" spans="5:14">
      <c r="E19">
        <v>4.5</v>
      </c>
      <c r="F19">
        <v>150</v>
      </c>
      <c r="G19">
        <v>2</v>
      </c>
      <c r="H19" t="s">
        <v>62</v>
      </c>
      <c r="I19" t="s">
        <v>33</v>
      </c>
      <c r="J19" t="s">
        <v>33</v>
      </c>
      <c r="K19" t="s">
        <v>33</v>
      </c>
      <c r="M19">
        <v>1.9</v>
      </c>
      <c r="N19">
        <v>6.2</v>
      </c>
    </row>
    <row r="20" spans="5:14">
      <c r="E20">
        <v>5.5</v>
      </c>
      <c r="F20">
        <v>150</v>
      </c>
      <c r="G20">
        <v>2</v>
      </c>
      <c r="H20" t="s">
        <v>62</v>
      </c>
      <c r="I20" t="s">
        <v>33</v>
      </c>
      <c r="J20" t="s">
        <v>33</v>
      </c>
      <c r="K20" t="s">
        <v>33</v>
      </c>
      <c r="M20">
        <v>2</v>
      </c>
      <c r="N20">
        <v>6</v>
      </c>
    </row>
    <row r="21" spans="5:14">
      <c r="E21">
        <v>5</v>
      </c>
      <c r="F21">
        <v>25</v>
      </c>
      <c r="G21">
        <v>1.998</v>
      </c>
      <c r="H21" t="s">
        <v>62</v>
      </c>
      <c r="I21" t="s">
        <v>33</v>
      </c>
      <c r="J21" t="s">
        <v>33</v>
      </c>
      <c r="K21" t="s">
        <v>33</v>
      </c>
      <c r="M21">
        <v>2.1</v>
      </c>
      <c r="N21">
        <v>5.8</v>
      </c>
    </row>
    <row r="22" spans="5:14">
      <c r="E22">
        <v>4.5</v>
      </c>
      <c r="F22">
        <v>25</v>
      </c>
      <c r="G22">
        <v>1.998</v>
      </c>
      <c r="H22" t="s">
        <v>62</v>
      </c>
      <c r="I22" t="s">
        <v>33</v>
      </c>
      <c r="J22" t="s">
        <v>33</v>
      </c>
      <c r="K22" t="s">
        <v>33</v>
      </c>
      <c r="M22">
        <v>2.2000000000000002</v>
      </c>
      <c r="N22">
        <v>5.6</v>
      </c>
    </row>
    <row r="23" spans="5:14">
      <c r="E23">
        <v>5.5</v>
      </c>
      <c r="F23">
        <v>25</v>
      </c>
      <c r="G23">
        <v>1.998</v>
      </c>
      <c r="H23" t="s">
        <v>62</v>
      </c>
      <c r="I23" t="s">
        <v>33</v>
      </c>
      <c r="J23" t="s">
        <v>33</v>
      </c>
      <c r="K23" t="s">
        <v>33</v>
      </c>
      <c r="M23">
        <v>16.5</v>
      </c>
      <c r="N23">
        <v>5.4</v>
      </c>
    </row>
    <row r="24" spans="5:14">
      <c r="E24">
        <v>5</v>
      </c>
      <c r="F24">
        <v>-40</v>
      </c>
      <c r="G24">
        <v>1.998</v>
      </c>
      <c r="H24" t="s">
        <v>62</v>
      </c>
      <c r="I24" t="s">
        <v>33</v>
      </c>
      <c r="J24" t="s">
        <v>33</v>
      </c>
      <c r="K24" t="s">
        <v>33</v>
      </c>
      <c r="M24">
        <v>2.4</v>
      </c>
      <c r="N24">
        <v>5.2</v>
      </c>
    </row>
    <row r="25" spans="5:14">
      <c r="E25">
        <v>4.5</v>
      </c>
      <c r="F25">
        <v>-40</v>
      </c>
      <c r="G25">
        <v>1.998</v>
      </c>
      <c r="H25" t="s">
        <v>62</v>
      </c>
      <c r="I25" t="s">
        <v>33</v>
      </c>
      <c r="J25" t="s">
        <v>33</v>
      </c>
      <c r="K25" t="s">
        <v>33</v>
      </c>
      <c r="M25">
        <v>2.5</v>
      </c>
      <c r="N25">
        <v>5</v>
      </c>
    </row>
    <row r="26" spans="5:14">
      <c r="E26">
        <v>5.5</v>
      </c>
      <c r="F26">
        <v>-40</v>
      </c>
      <c r="G26">
        <v>1.998</v>
      </c>
      <c r="H26" t="s">
        <v>62</v>
      </c>
      <c r="I26" t="s">
        <v>33</v>
      </c>
      <c r="J26" t="s">
        <v>33</v>
      </c>
      <c r="K26" t="s">
        <v>33</v>
      </c>
      <c r="M26">
        <v>2.6</v>
      </c>
      <c r="N26">
        <v>4.8</v>
      </c>
    </row>
    <row r="27" spans="5:14">
      <c r="E27">
        <v>5</v>
      </c>
      <c r="F27">
        <v>150</v>
      </c>
      <c r="G27">
        <v>1.998</v>
      </c>
      <c r="H27" t="s">
        <v>62</v>
      </c>
      <c r="I27" t="s">
        <v>33</v>
      </c>
      <c r="J27" t="s">
        <v>33</v>
      </c>
      <c r="K27" t="s">
        <v>33</v>
      </c>
      <c r="M27">
        <v>2.7</v>
      </c>
      <c r="N27">
        <v>4.5999999999999996</v>
      </c>
    </row>
    <row r="28" spans="5:14">
      <c r="E28">
        <v>4.5</v>
      </c>
      <c r="F28">
        <v>150</v>
      </c>
      <c r="G28">
        <v>1.998</v>
      </c>
      <c r="H28" t="s">
        <v>62</v>
      </c>
      <c r="I28" t="s">
        <v>33</v>
      </c>
      <c r="J28" t="s">
        <v>33</v>
      </c>
      <c r="K28" t="s">
        <v>33</v>
      </c>
      <c r="M28">
        <v>2.8</v>
      </c>
      <c r="N28">
        <v>4.4000000000000004</v>
      </c>
    </row>
    <row r="29" spans="5:14">
      <c r="E29">
        <v>5.5</v>
      </c>
      <c r="F29">
        <v>150</v>
      </c>
      <c r="G29">
        <v>1.998</v>
      </c>
      <c r="H29" t="s">
        <v>62</v>
      </c>
      <c r="I29" t="s">
        <v>33</v>
      </c>
      <c r="J29" t="s">
        <v>33</v>
      </c>
      <c r="K29" t="s">
        <v>33</v>
      </c>
      <c r="M29">
        <v>2.9</v>
      </c>
      <c r="N29">
        <v>4.2</v>
      </c>
    </row>
    <row r="30" spans="5:14">
      <c r="E30">
        <v>5</v>
      </c>
      <c r="F30">
        <v>25</v>
      </c>
      <c r="G30">
        <v>2.0019999999999998</v>
      </c>
      <c r="H30" t="s">
        <v>62</v>
      </c>
      <c r="I30" t="s">
        <v>33</v>
      </c>
      <c r="J30" t="s">
        <v>33</v>
      </c>
      <c r="K30" t="s">
        <v>33</v>
      </c>
      <c r="M30">
        <v>3</v>
      </c>
      <c r="N30">
        <v>4</v>
      </c>
    </row>
    <row r="31" spans="5:14">
      <c r="E31">
        <v>4.5</v>
      </c>
      <c r="F31">
        <v>25</v>
      </c>
      <c r="G31">
        <v>2.0019999999999998</v>
      </c>
      <c r="H31" t="s">
        <v>62</v>
      </c>
      <c r="I31" t="s">
        <v>33</v>
      </c>
      <c r="J31" t="s">
        <v>33</v>
      </c>
      <c r="K31" t="s">
        <v>33</v>
      </c>
      <c r="M31">
        <v>3.1</v>
      </c>
      <c r="N31">
        <v>3.8</v>
      </c>
    </row>
    <row r="32" spans="5:14">
      <c r="E32">
        <v>5.5</v>
      </c>
      <c r="F32">
        <v>25</v>
      </c>
      <c r="G32">
        <v>2.0019999999999998</v>
      </c>
      <c r="H32" t="s">
        <v>62</v>
      </c>
      <c r="I32" t="s">
        <v>33</v>
      </c>
      <c r="J32" t="s">
        <v>33</v>
      </c>
      <c r="K32" t="s">
        <v>33</v>
      </c>
      <c r="M32">
        <v>3.2</v>
      </c>
      <c r="N32">
        <v>3.6</v>
      </c>
    </row>
    <row r="33" spans="4:14">
      <c r="E33">
        <v>5</v>
      </c>
      <c r="F33">
        <v>-40</v>
      </c>
      <c r="G33">
        <v>2.0019999999999998</v>
      </c>
      <c r="H33" t="s">
        <v>62</v>
      </c>
      <c r="I33" t="s">
        <v>33</v>
      </c>
      <c r="J33" t="s">
        <v>33</v>
      </c>
      <c r="K33" t="s">
        <v>33</v>
      </c>
      <c r="M33">
        <v>3.3</v>
      </c>
      <c r="N33">
        <v>3.4</v>
      </c>
    </row>
    <row r="34" spans="4:14">
      <c r="E34">
        <v>4.5</v>
      </c>
      <c r="F34">
        <v>-40</v>
      </c>
      <c r="G34">
        <v>2.0019999999999998</v>
      </c>
      <c r="H34" t="s">
        <v>62</v>
      </c>
      <c r="I34" t="s">
        <v>33</v>
      </c>
      <c r="J34" t="s">
        <v>33</v>
      </c>
      <c r="K34" t="s">
        <v>33</v>
      </c>
      <c r="M34">
        <v>3.4</v>
      </c>
      <c r="N34">
        <v>3.2</v>
      </c>
    </row>
    <row r="35" spans="4:14">
      <c r="E35">
        <v>5.5</v>
      </c>
      <c r="F35">
        <v>-40</v>
      </c>
      <c r="G35">
        <v>2.0019999999999998</v>
      </c>
      <c r="H35" t="s">
        <v>62</v>
      </c>
      <c r="I35" t="s">
        <v>33</v>
      </c>
      <c r="J35" t="s">
        <v>33</v>
      </c>
      <c r="K35" t="s">
        <v>33</v>
      </c>
      <c r="M35">
        <v>3.5</v>
      </c>
      <c r="N35">
        <v>-25</v>
      </c>
    </row>
    <row r="36" spans="4:14">
      <c r="E36">
        <v>5</v>
      </c>
      <c r="F36">
        <v>150</v>
      </c>
      <c r="G36">
        <v>2.0019999999999998</v>
      </c>
      <c r="H36" t="s">
        <v>62</v>
      </c>
      <c r="I36" t="s">
        <v>33</v>
      </c>
      <c r="J36" t="s">
        <v>33</v>
      </c>
      <c r="K36" t="s">
        <v>33</v>
      </c>
      <c r="M36">
        <v>3.6</v>
      </c>
      <c r="N36">
        <v>2.8</v>
      </c>
    </row>
    <row r="37" spans="4:14">
      <c r="E37">
        <v>4.5</v>
      </c>
      <c r="F37">
        <v>150</v>
      </c>
      <c r="G37">
        <v>2.0019999999999998</v>
      </c>
      <c r="H37" t="s">
        <v>62</v>
      </c>
      <c r="I37" t="s">
        <v>33</v>
      </c>
      <c r="J37" t="s">
        <v>33</v>
      </c>
      <c r="K37" t="s">
        <v>33</v>
      </c>
      <c r="M37">
        <v>3.7</v>
      </c>
      <c r="N37">
        <v>2.6</v>
      </c>
    </row>
    <row r="38" spans="4:14">
      <c r="E38">
        <v>5.5</v>
      </c>
      <c r="F38">
        <v>150</v>
      </c>
      <c r="G38">
        <v>2.0019999999999998</v>
      </c>
      <c r="H38" t="s">
        <v>62</v>
      </c>
      <c r="I38" t="s">
        <v>33</v>
      </c>
      <c r="J38" t="s">
        <v>33</v>
      </c>
      <c r="K38" t="s">
        <v>33</v>
      </c>
      <c r="M38">
        <v>3.8</v>
      </c>
      <c r="N38">
        <v>2.4</v>
      </c>
    </row>
    <row r="39" spans="4:14">
      <c r="D39" t="s">
        <v>228</v>
      </c>
      <c r="E39">
        <v>4.5</v>
      </c>
      <c r="F39">
        <v>-40</v>
      </c>
      <c r="G39">
        <v>1.998</v>
      </c>
      <c r="H39" t="s">
        <v>136</v>
      </c>
      <c r="I39" t="s">
        <v>136</v>
      </c>
      <c r="J39" t="s">
        <v>137</v>
      </c>
      <c r="K39" t="s">
        <v>145</v>
      </c>
      <c r="M39">
        <v>3.9</v>
      </c>
      <c r="N39">
        <v>2.2000000000000002</v>
      </c>
    </row>
    <row r="40" spans="4:14">
      <c r="E40">
        <v>5.5</v>
      </c>
      <c r="F40">
        <v>-40</v>
      </c>
      <c r="G40">
        <v>1.998</v>
      </c>
      <c r="H40" t="s">
        <v>136</v>
      </c>
      <c r="I40" t="s">
        <v>136</v>
      </c>
      <c r="J40" t="s">
        <v>137</v>
      </c>
      <c r="K40" t="s">
        <v>145</v>
      </c>
      <c r="M40">
        <v>4</v>
      </c>
      <c r="N40">
        <v>1.99999999999999</v>
      </c>
    </row>
    <row r="41" spans="4:14">
      <c r="E41">
        <v>4.5</v>
      </c>
      <c r="F41">
        <v>150</v>
      </c>
      <c r="G41">
        <v>1.998</v>
      </c>
      <c r="H41" t="s">
        <v>136</v>
      </c>
      <c r="I41" t="s">
        <v>136</v>
      </c>
      <c r="J41" t="s">
        <v>137</v>
      </c>
      <c r="K41" t="s">
        <v>145</v>
      </c>
      <c r="M41">
        <v>4.0999999999999996</v>
      </c>
      <c r="N41">
        <v>1.7999999999999901</v>
      </c>
    </row>
    <row r="42" spans="4:14">
      <c r="E42">
        <v>5.5</v>
      </c>
      <c r="F42">
        <v>150</v>
      </c>
      <c r="G42">
        <v>1.998</v>
      </c>
      <c r="H42" t="s">
        <v>136</v>
      </c>
      <c r="I42" t="s">
        <v>136</v>
      </c>
      <c r="J42" t="s">
        <v>137</v>
      </c>
      <c r="K42" t="s">
        <v>145</v>
      </c>
      <c r="M42">
        <v>4.2</v>
      </c>
      <c r="N42">
        <v>1.5999999999999901</v>
      </c>
    </row>
    <row r="43" spans="4:14">
      <c r="E43">
        <v>4.5</v>
      </c>
      <c r="F43">
        <v>-40</v>
      </c>
      <c r="G43">
        <v>2.0019999999999998</v>
      </c>
      <c r="H43" t="s">
        <v>136</v>
      </c>
      <c r="I43" t="s">
        <v>136</v>
      </c>
      <c r="J43" t="s">
        <v>137</v>
      </c>
      <c r="K43" t="s">
        <v>145</v>
      </c>
      <c r="M43">
        <v>4.3</v>
      </c>
      <c r="N43">
        <v>1.3999999999999899</v>
      </c>
    </row>
    <row r="44" spans="4:14">
      <c r="E44">
        <v>5.5</v>
      </c>
      <c r="F44">
        <v>-40</v>
      </c>
      <c r="G44">
        <v>2.0019999999999998</v>
      </c>
      <c r="H44" t="s">
        <v>136</v>
      </c>
      <c r="I44" t="s">
        <v>136</v>
      </c>
      <c r="J44" t="s">
        <v>137</v>
      </c>
      <c r="K44" t="s">
        <v>145</v>
      </c>
      <c r="M44">
        <v>4.4000000000000004</v>
      </c>
      <c r="N44">
        <v>1.19999999999999</v>
      </c>
    </row>
    <row r="45" spans="4:14">
      <c r="E45">
        <v>4.5</v>
      </c>
      <c r="F45">
        <v>150</v>
      </c>
      <c r="G45">
        <v>2.0019999999999998</v>
      </c>
      <c r="H45" t="s">
        <v>136</v>
      </c>
      <c r="I45" t="s">
        <v>136</v>
      </c>
      <c r="J45" t="s">
        <v>137</v>
      </c>
      <c r="K45" t="s">
        <v>145</v>
      </c>
      <c r="M45">
        <v>4.5</v>
      </c>
      <c r="N45">
        <v>0.99999999999999001</v>
      </c>
    </row>
    <row r="46" spans="4:14">
      <c r="E46">
        <v>5.5</v>
      </c>
      <c r="F46">
        <v>150</v>
      </c>
      <c r="G46">
        <v>2.0019999999999998</v>
      </c>
      <c r="H46" t="s">
        <v>136</v>
      </c>
      <c r="I46" t="s">
        <v>136</v>
      </c>
      <c r="J46" t="s">
        <v>137</v>
      </c>
      <c r="K46" t="s">
        <v>145</v>
      </c>
      <c r="M46">
        <v>4.5999999999999996</v>
      </c>
      <c r="N46">
        <v>0.79999999999999005</v>
      </c>
    </row>
    <row r="47" spans="4:14">
      <c r="D47" t="s">
        <v>229</v>
      </c>
      <c r="E47">
        <v>4.5</v>
      </c>
      <c r="F47">
        <v>-40</v>
      </c>
      <c r="G47">
        <v>1.998</v>
      </c>
      <c r="H47" t="s">
        <v>138</v>
      </c>
      <c r="I47" t="s">
        <v>136</v>
      </c>
      <c r="J47" t="s">
        <v>139</v>
      </c>
      <c r="K47" t="s">
        <v>145</v>
      </c>
      <c r="M47">
        <v>4.7</v>
      </c>
      <c r="N47">
        <v>0.59999999999998999</v>
      </c>
    </row>
    <row r="48" spans="4:14">
      <c r="E48">
        <v>5.5</v>
      </c>
      <c r="F48">
        <v>-40</v>
      </c>
      <c r="G48">
        <v>1.998</v>
      </c>
      <c r="H48" t="s">
        <v>138</v>
      </c>
      <c r="I48" t="s">
        <v>136</v>
      </c>
      <c r="J48" t="s">
        <v>139</v>
      </c>
      <c r="K48" t="s">
        <v>145</v>
      </c>
      <c r="M48">
        <v>4.7999999999999901</v>
      </c>
      <c r="N48">
        <v>7.8</v>
      </c>
    </row>
    <row r="49" spans="4:14">
      <c r="E49">
        <v>4.5</v>
      </c>
      <c r="F49">
        <v>150</v>
      </c>
      <c r="G49">
        <v>1.998</v>
      </c>
      <c r="H49" t="s">
        <v>138</v>
      </c>
      <c r="I49" t="s">
        <v>136</v>
      </c>
      <c r="J49" t="s">
        <v>139</v>
      </c>
      <c r="K49" t="s">
        <v>145</v>
      </c>
      <c r="M49">
        <v>4.8999999999999897</v>
      </c>
      <c r="N49">
        <v>0.19999999999998999</v>
      </c>
    </row>
    <row r="50" spans="4:14">
      <c r="E50">
        <v>5.5</v>
      </c>
      <c r="F50">
        <v>150</v>
      </c>
      <c r="G50">
        <v>1.998</v>
      </c>
      <c r="H50" t="s">
        <v>138</v>
      </c>
      <c r="I50" t="s">
        <v>136</v>
      </c>
      <c r="J50" t="s">
        <v>139</v>
      </c>
      <c r="K50" t="s">
        <v>145</v>
      </c>
      <c r="M50">
        <v>5</v>
      </c>
      <c r="N50">
        <v>-25</v>
      </c>
    </row>
    <row r="51" spans="4:14">
      <c r="E51">
        <v>4.5</v>
      </c>
      <c r="F51">
        <v>-40</v>
      </c>
      <c r="G51">
        <v>2.0019999999999998</v>
      </c>
      <c r="H51" t="s">
        <v>138</v>
      </c>
      <c r="I51" t="s">
        <v>136</v>
      </c>
      <c r="J51" t="s">
        <v>139</v>
      </c>
      <c r="K51" t="s">
        <v>145</v>
      </c>
      <c r="M51">
        <v>5.0999999999999899</v>
      </c>
      <c r="N51">
        <v>-0.200000000000011</v>
      </c>
    </row>
    <row r="52" spans="4:14">
      <c r="E52">
        <v>5.5</v>
      </c>
      <c r="F52">
        <v>-40</v>
      </c>
      <c r="G52">
        <v>2.0019999999999998</v>
      </c>
      <c r="H52" t="s">
        <v>138</v>
      </c>
      <c r="I52" t="s">
        <v>136</v>
      </c>
      <c r="J52" t="s">
        <v>139</v>
      </c>
      <c r="K52" t="s">
        <v>145</v>
      </c>
      <c r="M52">
        <v>5.1999999999999904</v>
      </c>
      <c r="N52">
        <v>-0.40000000000001001</v>
      </c>
    </row>
    <row r="53" spans="4:14">
      <c r="E53">
        <v>4.5</v>
      </c>
      <c r="F53">
        <v>150</v>
      </c>
      <c r="G53">
        <v>2.0019999999999998</v>
      </c>
      <c r="H53" t="s">
        <v>138</v>
      </c>
      <c r="I53" t="s">
        <v>136</v>
      </c>
      <c r="J53" t="s">
        <v>139</v>
      </c>
      <c r="K53" t="s">
        <v>145</v>
      </c>
      <c r="M53">
        <v>5.2999999999999901</v>
      </c>
      <c r="N53">
        <v>-0.60000000000000897</v>
      </c>
    </row>
    <row r="54" spans="4:14">
      <c r="E54">
        <v>5.5</v>
      </c>
      <c r="F54">
        <v>150</v>
      </c>
      <c r="G54">
        <v>2.0019999999999998</v>
      </c>
      <c r="H54" t="s">
        <v>138</v>
      </c>
      <c r="I54" t="s">
        <v>136</v>
      </c>
      <c r="J54" t="s">
        <v>139</v>
      </c>
      <c r="K54" t="s">
        <v>145</v>
      </c>
      <c r="M54">
        <v>5.3999999999999897</v>
      </c>
      <c r="N54">
        <v>-0.80000000000001004</v>
      </c>
    </row>
    <row r="55" spans="4:14">
      <c r="D55" t="s">
        <v>230</v>
      </c>
      <c r="E55">
        <v>4.5</v>
      </c>
      <c r="F55">
        <v>-40</v>
      </c>
      <c r="G55">
        <v>1.998</v>
      </c>
      <c r="H55" t="s">
        <v>140</v>
      </c>
      <c r="I55" t="s">
        <v>136</v>
      </c>
      <c r="J55" t="s">
        <v>141</v>
      </c>
      <c r="K55" t="s">
        <v>145</v>
      </c>
      <c r="M55">
        <v>5.4999999999999902</v>
      </c>
      <c r="N55">
        <v>-1.00000000000001</v>
      </c>
    </row>
    <row r="56" spans="4:14">
      <c r="E56">
        <v>5.5</v>
      </c>
      <c r="F56">
        <v>-40</v>
      </c>
      <c r="G56">
        <v>1.998</v>
      </c>
      <c r="H56" t="s">
        <v>140</v>
      </c>
      <c r="I56" t="s">
        <v>136</v>
      </c>
      <c r="J56" t="s">
        <v>141</v>
      </c>
      <c r="K56" t="s">
        <v>145</v>
      </c>
      <c r="M56">
        <v>5.5999999999999899</v>
      </c>
      <c r="N56">
        <v>-1.2000000000000099</v>
      </c>
    </row>
    <row r="57" spans="4:14">
      <c r="E57">
        <v>4.5</v>
      </c>
      <c r="F57">
        <v>150</v>
      </c>
      <c r="G57">
        <v>1.998</v>
      </c>
      <c r="H57" t="s">
        <v>140</v>
      </c>
      <c r="I57" t="s">
        <v>136</v>
      </c>
      <c r="J57" t="s">
        <v>141</v>
      </c>
      <c r="K57" t="s">
        <v>145</v>
      </c>
      <c r="M57">
        <v>5.6999999999999904</v>
      </c>
      <c r="N57">
        <v>-1.4000000000000099</v>
      </c>
    </row>
    <row r="58" spans="4:14">
      <c r="E58">
        <v>5.5</v>
      </c>
      <c r="F58">
        <v>150</v>
      </c>
      <c r="G58">
        <v>1.998</v>
      </c>
      <c r="H58" t="s">
        <v>140</v>
      </c>
      <c r="I58" t="s">
        <v>136</v>
      </c>
      <c r="J58" t="s">
        <v>141</v>
      </c>
      <c r="K58" t="s">
        <v>145</v>
      </c>
      <c r="M58">
        <v>5.7999999999999901</v>
      </c>
      <c r="N58">
        <v>-1.6000000000000101</v>
      </c>
    </row>
    <row r="59" spans="4:14">
      <c r="E59">
        <v>4.5</v>
      </c>
      <c r="F59">
        <v>-40</v>
      </c>
      <c r="G59">
        <v>2.0019999999999998</v>
      </c>
      <c r="H59" t="s">
        <v>140</v>
      </c>
      <c r="I59" t="s">
        <v>136</v>
      </c>
      <c r="J59" t="s">
        <v>141</v>
      </c>
      <c r="K59" t="s">
        <v>145</v>
      </c>
      <c r="M59">
        <v>5.8999999999999897</v>
      </c>
      <c r="N59">
        <v>-1.80000000000001</v>
      </c>
    </row>
    <row r="60" spans="4:14">
      <c r="E60">
        <v>5.5</v>
      </c>
      <c r="F60">
        <v>-40</v>
      </c>
      <c r="G60">
        <v>2.0019999999999998</v>
      </c>
      <c r="H60" t="s">
        <v>140</v>
      </c>
      <c r="I60" t="s">
        <v>136</v>
      </c>
      <c r="J60" t="s">
        <v>141</v>
      </c>
      <c r="K60" t="s">
        <v>145</v>
      </c>
      <c r="M60">
        <v>5.9999999999999902</v>
      </c>
      <c r="N60">
        <v>-2.0000000000000102</v>
      </c>
    </row>
    <row r="61" spans="4:14">
      <c r="E61">
        <v>4.5</v>
      </c>
      <c r="F61">
        <v>150</v>
      </c>
      <c r="G61">
        <v>2.0019999999999998</v>
      </c>
      <c r="H61" t="s">
        <v>140</v>
      </c>
      <c r="I61" t="s">
        <v>136</v>
      </c>
      <c r="J61" t="s">
        <v>141</v>
      </c>
      <c r="K61" t="s">
        <v>145</v>
      </c>
      <c r="M61">
        <v>6.0999999999999899</v>
      </c>
      <c r="N61">
        <v>-2.2000000000000002</v>
      </c>
    </row>
    <row r="62" spans="4:14">
      <c r="E62">
        <v>5.5</v>
      </c>
      <c r="F62">
        <v>150</v>
      </c>
      <c r="G62">
        <v>2.0019999999999998</v>
      </c>
      <c r="H62" t="s">
        <v>140</v>
      </c>
      <c r="I62" t="s">
        <v>136</v>
      </c>
      <c r="J62" t="s">
        <v>141</v>
      </c>
      <c r="K62" t="s">
        <v>145</v>
      </c>
      <c r="M62">
        <v>6.1999999999999904</v>
      </c>
      <c r="N62">
        <v>-2.4</v>
      </c>
    </row>
    <row r="63" spans="4:14">
      <c r="D63" t="s">
        <v>231</v>
      </c>
      <c r="E63">
        <v>4.5</v>
      </c>
      <c r="F63">
        <v>-40</v>
      </c>
      <c r="G63">
        <v>1.998</v>
      </c>
      <c r="H63" t="s">
        <v>142</v>
      </c>
      <c r="I63" t="s">
        <v>136</v>
      </c>
      <c r="J63" t="s">
        <v>143</v>
      </c>
      <c r="K63" t="s">
        <v>145</v>
      </c>
      <c r="M63">
        <v>6.2999999999999901</v>
      </c>
      <c r="N63">
        <v>-2.6</v>
      </c>
    </row>
    <row r="64" spans="4:14">
      <c r="E64">
        <v>5.5</v>
      </c>
      <c r="F64">
        <v>-40</v>
      </c>
      <c r="G64">
        <v>1.998</v>
      </c>
      <c r="H64" t="s">
        <v>142</v>
      </c>
      <c r="I64" t="s">
        <v>136</v>
      </c>
      <c r="J64" t="s">
        <v>143</v>
      </c>
      <c r="K64" t="s">
        <v>145</v>
      </c>
      <c r="M64">
        <v>6.3999999999999897</v>
      </c>
      <c r="N64">
        <v>-2.8</v>
      </c>
    </row>
    <row r="65" spans="4:14">
      <c r="E65">
        <v>4.5</v>
      </c>
      <c r="F65">
        <v>150</v>
      </c>
      <c r="G65">
        <v>1.998</v>
      </c>
      <c r="H65" t="s">
        <v>142</v>
      </c>
      <c r="I65" t="s">
        <v>136</v>
      </c>
      <c r="J65" t="s">
        <v>143</v>
      </c>
      <c r="K65" t="s">
        <v>145</v>
      </c>
      <c r="M65">
        <v>6.4999999999999902</v>
      </c>
      <c r="N65">
        <v>-3</v>
      </c>
    </row>
    <row r="66" spans="4:14">
      <c r="E66">
        <v>5.5</v>
      </c>
      <c r="F66">
        <v>150</v>
      </c>
      <c r="G66">
        <v>1.998</v>
      </c>
      <c r="H66" t="s">
        <v>142</v>
      </c>
      <c r="I66" t="s">
        <v>136</v>
      </c>
      <c r="J66" t="s">
        <v>143</v>
      </c>
      <c r="K66" t="s">
        <v>145</v>
      </c>
      <c r="M66">
        <v>6.5999999999999899</v>
      </c>
      <c r="N66">
        <v>-3.2</v>
      </c>
    </row>
    <row r="67" spans="4:14">
      <c r="E67">
        <v>4.5</v>
      </c>
      <c r="F67">
        <v>-40</v>
      </c>
      <c r="G67">
        <v>2.0019999999999998</v>
      </c>
      <c r="H67" t="s">
        <v>142</v>
      </c>
      <c r="I67" t="s">
        <v>136</v>
      </c>
      <c r="J67" t="s">
        <v>143</v>
      </c>
      <c r="K67" t="s">
        <v>145</v>
      </c>
      <c r="M67">
        <v>6.6999999999999904</v>
      </c>
      <c r="N67">
        <v>-3.4</v>
      </c>
    </row>
    <row r="68" spans="4:14">
      <c r="E68">
        <v>5.5</v>
      </c>
      <c r="F68">
        <v>-40</v>
      </c>
      <c r="G68">
        <v>2.0019999999999998</v>
      </c>
      <c r="H68" t="s">
        <v>142</v>
      </c>
      <c r="I68" t="s">
        <v>136</v>
      </c>
      <c r="J68" t="s">
        <v>143</v>
      </c>
      <c r="K68" t="s">
        <v>145</v>
      </c>
      <c r="M68">
        <v>6.7999999999999901</v>
      </c>
      <c r="N68">
        <v>-3.6</v>
      </c>
    </row>
    <row r="69" spans="4:14">
      <c r="E69">
        <v>4.5</v>
      </c>
      <c r="F69">
        <v>150</v>
      </c>
      <c r="G69">
        <v>2.0019999999999998</v>
      </c>
      <c r="H69" t="s">
        <v>142</v>
      </c>
      <c r="I69" t="s">
        <v>136</v>
      </c>
      <c r="J69" t="s">
        <v>143</v>
      </c>
      <c r="K69" t="s">
        <v>145</v>
      </c>
      <c r="M69">
        <v>6.8999999999999897</v>
      </c>
      <c r="N69">
        <v>-3.8</v>
      </c>
    </row>
    <row r="70" spans="4:14">
      <c r="E70">
        <v>5.5</v>
      </c>
      <c r="F70">
        <v>150</v>
      </c>
      <c r="G70">
        <v>2.0019999999999998</v>
      </c>
      <c r="H70" t="s">
        <v>142</v>
      </c>
      <c r="I70" t="s">
        <v>136</v>
      </c>
      <c r="J70" t="s">
        <v>143</v>
      </c>
      <c r="K70" t="s">
        <v>145</v>
      </c>
      <c r="M70">
        <v>6.9999999999999902</v>
      </c>
      <c r="N70">
        <v>-4</v>
      </c>
    </row>
    <row r="71" spans="4:14">
      <c r="D71" t="s">
        <v>232</v>
      </c>
      <c r="E71">
        <v>4.5</v>
      </c>
      <c r="F71">
        <v>-40</v>
      </c>
      <c r="G71">
        <v>1.998</v>
      </c>
      <c r="H71" t="s">
        <v>136</v>
      </c>
      <c r="I71" t="s">
        <v>138</v>
      </c>
      <c r="J71" t="s">
        <v>137</v>
      </c>
      <c r="K71" t="s">
        <v>145</v>
      </c>
      <c r="M71">
        <v>7.0999999999999899</v>
      </c>
      <c r="N71">
        <v>-4.2</v>
      </c>
    </row>
    <row r="72" spans="4:14">
      <c r="E72">
        <v>5.5</v>
      </c>
      <c r="F72">
        <v>-40</v>
      </c>
      <c r="G72">
        <v>1.998</v>
      </c>
      <c r="H72" t="s">
        <v>136</v>
      </c>
      <c r="I72" t="s">
        <v>138</v>
      </c>
      <c r="J72" t="s">
        <v>137</v>
      </c>
      <c r="K72" t="s">
        <v>145</v>
      </c>
      <c r="M72">
        <v>7.1999999999999904</v>
      </c>
      <c r="N72">
        <v>-4.4000000000000004</v>
      </c>
    </row>
    <row r="73" spans="4:14">
      <c r="E73">
        <v>4.5</v>
      </c>
      <c r="F73">
        <v>150</v>
      </c>
      <c r="G73">
        <v>1.998</v>
      </c>
      <c r="H73" t="s">
        <v>136</v>
      </c>
      <c r="I73" t="s">
        <v>138</v>
      </c>
      <c r="J73" t="s">
        <v>137</v>
      </c>
      <c r="K73" t="s">
        <v>145</v>
      </c>
      <c r="M73">
        <v>7.2999999999999901</v>
      </c>
      <c r="N73">
        <v>-4.5999999999999996</v>
      </c>
    </row>
    <row r="74" spans="4:14">
      <c r="E74">
        <v>5.5</v>
      </c>
      <c r="F74">
        <v>150</v>
      </c>
      <c r="G74">
        <v>1.998</v>
      </c>
      <c r="H74" t="s">
        <v>136</v>
      </c>
      <c r="I74" t="s">
        <v>138</v>
      </c>
      <c r="J74" t="s">
        <v>137</v>
      </c>
      <c r="K74" t="s">
        <v>145</v>
      </c>
      <c r="M74">
        <v>7.3999999999999897</v>
      </c>
      <c r="N74">
        <v>-4.8</v>
      </c>
    </row>
    <row r="75" spans="4:14">
      <c r="E75">
        <v>4.5</v>
      </c>
      <c r="F75">
        <v>-40</v>
      </c>
      <c r="G75">
        <v>2.0019999999999998</v>
      </c>
      <c r="H75" t="s">
        <v>136</v>
      </c>
      <c r="I75" t="s">
        <v>138</v>
      </c>
      <c r="J75" t="s">
        <v>137</v>
      </c>
      <c r="K75" t="s">
        <v>145</v>
      </c>
      <c r="M75">
        <v>7.4999999999999902</v>
      </c>
      <c r="N75">
        <v>-5</v>
      </c>
    </row>
    <row r="76" spans="4:14">
      <c r="E76">
        <v>5.5</v>
      </c>
      <c r="F76">
        <v>-40</v>
      </c>
      <c r="G76">
        <v>2.0019999999999998</v>
      </c>
      <c r="H76" t="s">
        <v>136</v>
      </c>
      <c r="I76" t="s">
        <v>138</v>
      </c>
      <c r="J76" t="s">
        <v>137</v>
      </c>
      <c r="K76" t="s">
        <v>145</v>
      </c>
      <c r="M76">
        <v>7.5999999999999899</v>
      </c>
      <c r="N76">
        <v>-5.2</v>
      </c>
    </row>
    <row r="77" spans="4:14">
      <c r="E77">
        <v>4.5</v>
      </c>
      <c r="F77">
        <v>150</v>
      </c>
      <c r="G77">
        <v>2.0019999999999998</v>
      </c>
      <c r="H77" t="s">
        <v>136</v>
      </c>
      <c r="I77" t="s">
        <v>138</v>
      </c>
      <c r="J77" t="s">
        <v>137</v>
      </c>
      <c r="K77" t="s">
        <v>145</v>
      </c>
      <c r="M77">
        <v>7.6999999999999904</v>
      </c>
      <c r="N77">
        <v>-5.4</v>
      </c>
    </row>
    <row r="78" spans="4:14">
      <c r="E78">
        <v>5.5</v>
      </c>
      <c r="F78">
        <v>150</v>
      </c>
      <c r="G78">
        <v>2.0019999999999998</v>
      </c>
      <c r="H78" t="s">
        <v>136</v>
      </c>
      <c r="I78" t="s">
        <v>138</v>
      </c>
      <c r="J78" t="s">
        <v>137</v>
      </c>
      <c r="K78" t="s">
        <v>145</v>
      </c>
      <c r="M78">
        <v>7.7999999999999901</v>
      </c>
      <c r="N78">
        <v>-5.6</v>
      </c>
    </row>
    <row r="79" spans="4:14">
      <c r="D79" t="s">
        <v>233</v>
      </c>
      <c r="E79">
        <v>4.5</v>
      </c>
      <c r="F79">
        <v>-40</v>
      </c>
      <c r="G79">
        <v>1.998</v>
      </c>
      <c r="H79" t="s">
        <v>138</v>
      </c>
      <c r="I79" t="s">
        <v>138</v>
      </c>
      <c r="J79" t="s">
        <v>139</v>
      </c>
      <c r="K79" t="s">
        <v>145</v>
      </c>
      <c r="M79">
        <v>7.8999999999999897</v>
      </c>
      <c r="N79">
        <v>-5.8</v>
      </c>
    </row>
    <row r="80" spans="4:14">
      <c r="E80">
        <v>5.5</v>
      </c>
      <c r="F80">
        <v>-40</v>
      </c>
      <c r="G80">
        <v>1.998</v>
      </c>
      <c r="H80" t="s">
        <v>138</v>
      </c>
      <c r="I80" t="s">
        <v>138</v>
      </c>
      <c r="J80" t="s">
        <v>139</v>
      </c>
      <c r="K80" t="s">
        <v>145</v>
      </c>
      <c r="M80">
        <v>7.9999999999999902</v>
      </c>
      <c r="N80">
        <v>-6</v>
      </c>
    </row>
    <row r="81" spans="4:14">
      <c r="E81">
        <v>4.5</v>
      </c>
      <c r="F81">
        <v>150</v>
      </c>
      <c r="G81">
        <v>1.998</v>
      </c>
      <c r="H81" t="s">
        <v>138</v>
      </c>
      <c r="I81" t="s">
        <v>138</v>
      </c>
      <c r="J81" t="s">
        <v>139</v>
      </c>
      <c r="K81" t="s">
        <v>145</v>
      </c>
      <c r="M81">
        <v>8.0999999999999908</v>
      </c>
      <c r="N81">
        <v>-6.2</v>
      </c>
    </row>
    <row r="82" spans="4:14">
      <c r="E82">
        <v>5.5</v>
      </c>
      <c r="F82">
        <v>150</v>
      </c>
      <c r="G82">
        <v>1.998</v>
      </c>
      <c r="H82" t="s">
        <v>138</v>
      </c>
      <c r="I82" t="s">
        <v>138</v>
      </c>
      <c r="J82" t="s">
        <v>139</v>
      </c>
      <c r="K82" t="s">
        <v>145</v>
      </c>
      <c r="M82">
        <v>8.1999999999999904</v>
      </c>
      <c r="N82">
        <v>-6.4</v>
      </c>
    </row>
    <row r="83" spans="4:14">
      <c r="E83">
        <v>4.5</v>
      </c>
      <c r="F83">
        <v>-40</v>
      </c>
      <c r="G83">
        <v>2.0019999999999998</v>
      </c>
      <c r="H83" t="s">
        <v>138</v>
      </c>
      <c r="I83" t="s">
        <v>138</v>
      </c>
      <c r="J83" t="s">
        <v>139</v>
      </c>
      <c r="K83" t="s">
        <v>145</v>
      </c>
      <c r="M83">
        <v>8.2999999999999901</v>
      </c>
      <c r="N83">
        <v>-6.6</v>
      </c>
    </row>
    <row r="84" spans="4:14">
      <c r="E84">
        <v>5.5</v>
      </c>
      <c r="F84">
        <v>-40</v>
      </c>
      <c r="G84">
        <v>2.0019999999999998</v>
      </c>
      <c r="H84" t="s">
        <v>138</v>
      </c>
      <c r="I84" t="s">
        <v>138</v>
      </c>
      <c r="J84" t="s">
        <v>139</v>
      </c>
      <c r="K84" t="s">
        <v>145</v>
      </c>
      <c r="M84">
        <v>8.3999999999999897</v>
      </c>
      <c r="N84">
        <v>-6.8</v>
      </c>
    </row>
    <row r="85" spans="4:14">
      <c r="E85">
        <v>4.5</v>
      </c>
      <c r="F85">
        <v>150</v>
      </c>
      <c r="G85">
        <v>2.0019999999999998</v>
      </c>
      <c r="H85" t="s">
        <v>138</v>
      </c>
      <c r="I85" t="s">
        <v>138</v>
      </c>
      <c r="J85" t="s">
        <v>139</v>
      </c>
      <c r="K85" t="s">
        <v>145</v>
      </c>
      <c r="M85">
        <v>8.4999999999999893</v>
      </c>
      <c r="N85">
        <v>-7</v>
      </c>
    </row>
    <row r="86" spans="4:14">
      <c r="E86">
        <v>5.5</v>
      </c>
      <c r="F86">
        <v>150</v>
      </c>
      <c r="G86">
        <v>2.0019999999999998</v>
      </c>
      <c r="H86" t="s">
        <v>138</v>
      </c>
      <c r="I86" t="s">
        <v>138</v>
      </c>
      <c r="J86" t="s">
        <v>139</v>
      </c>
      <c r="K86" t="s">
        <v>145</v>
      </c>
      <c r="M86">
        <v>8.5999999999999908</v>
      </c>
      <c r="N86">
        <v>-7.2</v>
      </c>
    </row>
    <row r="87" spans="4:14">
      <c r="D87" t="s">
        <v>234</v>
      </c>
      <c r="E87">
        <v>4.5</v>
      </c>
      <c r="F87">
        <v>-40</v>
      </c>
      <c r="G87">
        <v>1.998</v>
      </c>
      <c r="H87" t="s">
        <v>140</v>
      </c>
      <c r="I87" t="s">
        <v>138</v>
      </c>
      <c r="J87" t="s">
        <v>141</v>
      </c>
      <c r="K87" t="s">
        <v>145</v>
      </c>
      <c r="M87">
        <v>8.6999999999999904</v>
      </c>
      <c r="N87">
        <v>-7.4</v>
      </c>
    </row>
    <row r="88" spans="4:14">
      <c r="E88">
        <v>5.5</v>
      </c>
      <c r="F88">
        <v>-40</v>
      </c>
      <c r="G88">
        <v>1.998</v>
      </c>
      <c r="H88" t="s">
        <v>140</v>
      </c>
      <c r="I88" t="s">
        <v>138</v>
      </c>
      <c r="J88" t="s">
        <v>141</v>
      </c>
      <c r="K88" t="s">
        <v>145</v>
      </c>
      <c r="M88">
        <v>8.7999999999999901</v>
      </c>
      <c r="N88">
        <v>-7.6</v>
      </c>
    </row>
    <row r="89" spans="4:14">
      <c r="E89">
        <v>4.5</v>
      </c>
      <c r="F89">
        <v>150</v>
      </c>
      <c r="G89">
        <v>1.998</v>
      </c>
      <c r="H89" t="s">
        <v>140</v>
      </c>
      <c r="I89" t="s">
        <v>138</v>
      </c>
      <c r="J89" t="s">
        <v>141</v>
      </c>
      <c r="K89" t="s">
        <v>145</v>
      </c>
      <c r="M89">
        <v>8.8999999999999897</v>
      </c>
      <c r="N89">
        <v>-7.8</v>
      </c>
    </row>
    <row r="90" spans="4:14">
      <c r="E90">
        <v>5.5</v>
      </c>
      <c r="F90">
        <v>150</v>
      </c>
      <c r="G90">
        <v>1.998</v>
      </c>
      <c r="H90" t="s">
        <v>140</v>
      </c>
      <c r="I90" t="s">
        <v>138</v>
      </c>
      <c r="J90" t="s">
        <v>141</v>
      </c>
      <c r="K90" t="s">
        <v>145</v>
      </c>
      <c r="M90">
        <v>8.9999999999999893</v>
      </c>
      <c r="N90">
        <v>-8</v>
      </c>
    </row>
    <row r="91" spans="4:14">
      <c r="E91">
        <v>4.5</v>
      </c>
      <c r="F91">
        <v>-40</v>
      </c>
      <c r="G91">
        <v>2.0019999999999998</v>
      </c>
      <c r="H91" t="s">
        <v>140</v>
      </c>
      <c r="I91" t="s">
        <v>138</v>
      </c>
      <c r="J91" t="s">
        <v>141</v>
      </c>
      <c r="K91" t="s">
        <v>145</v>
      </c>
      <c r="M91">
        <v>9.0999999999999908</v>
      </c>
      <c r="N91">
        <v>-8.1999999999999993</v>
      </c>
    </row>
    <row r="92" spans="4:14">
      <c r="E92">
        <v>5.5</v>
      </c>
      <c r="F92">
        <v>-40</v>
      </c>
      <c r="G92">
        <v>2.0019999999999998</v>
      </c>
      <c r="H92" t="s">
        <v>140</v>
      </c>
      <c r="I92" t="s">
        <v>138</v>
      </c>
      <c r="J92" t="s">
        <v>141</v>
      </c>
      <c r="K92" t="s">
        <v>145</v>
      </c>
      <c r="M92">
        <v>9.1999999999999904</v>
      </c>
      <c r="N92">
        <v>-8.4</v>
      </c>
    </row>
    <row r="93" spans="4:14">
      <c r="E93">
        <v>4.5</v>
      </c>
      <c r="F93">
        <v>150</v>
      </c>
      <c r="G93">
        <v>2.0019999999999998</v>
      </c>
      <c r="H93" t="s">
        <v>140</v>
      </c>
      <c r="I93" t="s">
        <v>138</v>
      </c>
      <c r="J93" t="s">
        <v>141</v>
      </c>
      <c r="K93" t="s">
        <v>145</v>
      </c>
      <c r="M93">
        <v>9.2999999999999901</v>
      </c>
      <c r="N93">
        <v>-8.6</v>
      </c>
    </row>
    <row r="94" spans="4:14">
      <c r="E94">
        <v>5.5</v>
      </c>
      <c r="F94">
        <v>150</v>
      </c>
      <c r="G94">
        <v>2.0019999999999998</v>
      </c>
      <c r="H94" t="s">
        <v>140</v>
      </c>
      <c r="I94" t="s">
        <v>138</v>
      </c>
      <c r="J94" t="s">
        <v>141</v>
      </c>
      <c r="K94" t="s">
        <v>145</v>
      </c>
      <c r="M94">
        <v>9.3999999999999897</v>
      </c>
      <c r="N94">
        <v>-8.8000000000000007</v>
      </c>
    </row>
    <row r="95" spans="4:14">
      <c r="D95" t="s">
        <v>235</v>
      </c>
      <c r="E95">
        <v>4.5</v>
      </c>
      <c r="F95">
        <v>-40</v>
      </c>
      <c r="G95">
        <v>1.998</v>
      </c>
      <c r="H95" t="s">
        <v>142</v>
      </c>
      <c r="I95" t="s">
        <v>138</v>
      </c>
      <c r="J95" t="s">
        <v>143</v>
      </c>
      <c r="K95" t="s">
        <v>145</v>
      </c>
      <c r="M95">
        <v>9.4999999999999893</v>
      </c>
      <c r="N95">
        <v>-9</v>
      </c>
    </row>
    <row r="96" spans="4:14">
      <c r="E96">
        <v>5.5</v>
      </c>
      <c r="F96">
        <v>-40</v>
      </c>
      <c r="G96">
        <v>1.998</v>
      </c>
      <c r="H96" t="s">
        <v>142</v>
      </c>
      <c r="I96" t="s">
        <v>138</v>
      </c>
      <c r="J96" t="s">
        <v>143</v>
      </c>
      <c r="K96" t="s">
        <v>145</v>
      </c>
      <c r="M96">
        <v>9.5999999999999908</v>
      </c>
      <c r="N96">
        <v>-9.1999999999999993</v>
      </c>
    </row>
    <row r="97" spans="4:14">
      <c r="E97">
        <v>4.5</v>
      </c>
      <c r="F97">
        <v>150</v>
      </c>
      <c r="G97">
        <v>1.998</v>
      </c>
      <c r="H97" t="s">
        <v>142</v>
      </c>
      <c r="I97" t="s">
        <v>138</v>
      </c>
      <c r="J97" t="s">
        <v>143</v>
      </c>
      <c r="K97" t="s">
        <v>145</v>
      </c>
      <c r="M97">
        <v>9.6999999999999904</v>
      </c>
      <c r="N97">
        <v>-9.4</v>
      </c>
    </row>
    <row r="98" spans="4:14">
      <c r="E98">
        <v>5.5</v>
      </c>
      <c r="F98">
        <v>150</v>
      </c>
      <c r="G98">
        <v>1.998</v>
      </c>
      <c r="H98" t="s">
        <v>142</v>
      </c>
      <c r="I98" t="s">
        <v>138</v>
      </c>
      <c r="J98" t="s">
        <v>143</v>
      </c>
      <c r="K98" t="s">
        <v>145</v>
      </c>
      <c r="M98">
        <v>9.7999999999999901</v>
      </c>
      <c r="N98">
        <v>-9.6</v>
      </c>
    </row>
    <row r="99" spans="4:14">
      <c r="E99">
        <v>4.5</v>
      </c>
      <c r="F99">
        <v>-40</v>
      </c>
      <c r="G99">
        <v>2.0019999999999998</v>
      </c>
      <c r="H99" t="s">
        <v>142</v>
      </c>
      <c r="I99" t="s">
        <v>138</v>
      </c>
      <c r="J99" t="s">
        <v>143</v>
      </c>
      <c r="K99" t="s">
        <v>145</v>
      </c>
      <c r="M99">
        <v>9.8999999999999897</v>
      </c>
      <c r="N99">
        <v>-9.8000000000000007</v>
      </c>
    </row>
    <row r="100" spans="4:14">
      <c r="E100">
        <v>5.5</v>
      </c>
      <c r="F100">
        <v>-40</v>
      </c>
      <c r="G100">
        <v>2.0019999999999998</v>
      </c>
      <c r="H100" t="s">
        <v>142</v>
      </c>
      <c r="I100" t="s">
        <v>138</v>
      </c>
      <c r="J100" t="s">
        <v>143</v>
      </c>
      <c r="K100" t="s">
        <v>145</v>
      </c>
      <c r="M100">
        <v>9.9999999999999893</v>
      </c>
      <c r="N100">
        <v>-10</v>
      </c>
    </row>
    <row r="101" spans="4:14">
      <c r="E101">
        <v>4.5</v>
      </c>
      <c r="F101">
        <v>150</v>
      </c>
      <c r="G101">
        <v>2.0019999999999998</v>
      </c>
      <c r="H101" t="s">
        <v>142</v>
      </c>
      <c r="I101" t="s">
        <v>138</v>
      </c>
      <c r="J101" t="s">
        <v>143</v>
      </c>
      <c r="K101" t="s">
        <v>145</v>
      </c>
      <c r="M101">
        <v>10.1</v>
      </c>
      <c r="N101">
        <v>-10.199999999999999</v>
      </c>
    </row>
    <row r="102" spans="4:14">
      <c r="E102">
        <v>5.5</v>
      </c>
      <c r="F102">
        <v>150</v>
      </c>
      <c r="G102">
        <v>2.0019999999999998</v>
      </c>
      <c r="H102" t="s">
        <v>142</v>
      </c>
      <c r="I102" t="s">
        <v>138</v>
      </c>
      <c r="J102" t="s">
        <v>143</v>
      </c>
      <c r="K102" t="s">
        <v>145</v>
      </c>
      <c r="M102">
        <v>10.199999999999999</v>
      </c>
      <c r="N102">
        <v>-10.4</v>
      </c>
    </row>
    <row r="103" spans="4:14">
      <c r="D103" t="s">
        <v>236</v>
      </c>
      <c r="E103">
        <v>4.5</v>
      </c>
      <c r="F103">
        <v>-40</v>
      </c>
      <c r="G103">
        <v>1.998</v>
      </c>
      <c r="H103" t="s">
        <v>136</v>
      </c>
      <c r="I103" t="s">
        <v>140</v>
      </c>
      <c r="J103" t="s">
        <v>137</v>
      </c>
      <c r="K103" t="s">
        <v>147</v>
      </c>
      <c r="M103">
        <v>10.3</v>
      </c>
      <c r="N103">
        <v>-10.6</v>
      </c>
    </row>
    <row r="104" spans="4:14">
      <c r="E104">
        <v>5.5</v>
      </c>
      <c r="F104">
        <v>-40</v>
      </c>
      <c r="G104">
        <v>1.998</v>
      </c>
      <c r="H104" t="s">
        <v>136</v>
      </c>
      <c r="I104" t="s">
        <v>140</v>
      </c>
      <c r="J104" t="s">
        <v>137</v>
      </c>
      <c r="K104" t="s">
        <v>147</v>
      </c>
      <c r="M104">
        <v>10.4</v>
      </c>
      <c r="N104">
        <v>-10.8</v>
      </c>
    </row>
    <row r="105" spans="4:14">
      <c r="E105">
        <v>4.5</v>
      </c>
      <c r="F105">
        <v>150</v>
      </c>
      <c r="G105">
        <v>1.998</v>
      </c>
      <c r="H105" t="s">
        <v>136</v>
      </c>
      <c r="I105" t="s">
        <v>140</v>
      </c>
      <c r="J105" t="s">
        <v>137</v>
      </c>
      <c r="K105" t="s">
        <v>147</v>
      </c>
      <c r="M105">
        <v>10.5</v>
      </c>
      <c r="N105">
        <v>-11</v>
      </c>
    </row>
    <row r="106" spans="4:14">
      <c r="E106">
        <v>5.5</v>
      </c>
      <c r="F106">
        <v>150</v>
      </c>
      <c r="G106">
        <v>1.998</v>
      </c>
      <c r="H106" t="s">
        <v>136</v>
      </c>
      <c r="I106" t="s">
        <v>140</v>
      </c>
      <c r="J106" t="s">
        <v>137</v>
      </c>
      <c r="K106" t="s">
        <v>147</v>
      </c>
      <c r="M106">
        <v>10.6</v>
      </c>
      <c r="N106">
        <v>-11.2</v>
      </c>
    </row>
    <row r="107" spans="4:14">
      <c r="E107">
        <v>4.5</v>
      </c>
      <c r="F107">
        <v>-40</v>
      </c>
      <c r="G107">
        <v>2.0019999999999998</v>
      </c>
      <c r="H107" t="s">
        <v>136</v>
      </c>
      <c r="I107" t="s">
        <v>140</v>
      </c>
      <c r="J107" t="s">
        <v>137</v>
      </c>
      <c r="K107" t="s">
        <v>147</v>
      </c>
      <c r="M107">
        <v>10.7</v>
      </c>
      <c r="N107">
        <v>-11.4</v>
      </c>
    </row>
    <row r="108" spans="4:14">
      <c r="E108">
        <v>5.5</v>
      </c>
      <c r="F108">
        <v>-40</v>
      </c>
      <c r="G108">
        <v>2.0019999999999998</v>
      </c>
      <c r="H108" t="s">
        <v>136</v>
      </c>
      <c r="I108" t="s">
        <v>140</v>
      </c>
      <c r="J108" t="s">
        <v>137</v>
      </c>
      <c r="K108" t="s">
        <v>147</v>
      </c>
      <c r="M108">
        <v>10.8</v>
      </c>
      <c r="N108">
        <v>-11.6</v>
      </c>
    </row>
    <row r="109" spans="4:14">
      <c r="E109">
        <v>4.5</v>
      </c>
      <c r="F109">
        <v>150</v>
      </c>
      <c r="G109">
        <v>2.0019999999999998</v>
      </c>
      <c r="H109" t="s">
        <v>136</v>
      </c>
      <c r="I109" t="s">
        <v>140</v>
      </c>
      <c r="J109" t="s">
        <v>137</v>
      </c>
      <c r="K109" t="s">
        <v>147</v>
      </c>
      <c r="M109">
        <v>10.9</v>
      </c>
      <c r="N109">
        <v>-11.8</v>
      </c>
    </row>
    <row r="110" spans="4:14">
      <c r="E110">
        <v>5.5</v>
      </c>
      <c r="F110">
        <v>150</v>
      </c>
      <c r="G110">
        <v>2.0019999999999998</v>
      </c>
      <c r="H110" t="s">
        <v>136</v>
      </c>
      <c r="I110" t="s">
        <v>140</v>
      </c>
      <c r="J110" t="s">
        <v>137</v>
      </c>
      <c r="K110" t="s">
        <v>147</v>
      </c>
      <c r="M110">
        <v>11</v>
      </c>
      <c r="N110">
        <v>-12</v>
      </c>
    </row>
    <row r="111" spans="4:14">
      <c r="D111" t="s">
        <v>237</v>
      </c>
      <c r="E111">
        <v>4.5</v>
      </c>
      <c r="F111">
        <v>-40</v>
      </c>
      <c r="G111">
        <v>1.998</v>
      </c>
      <c r="H111" t="s">
        <v>138</v>
      </c>
      <c r="I111" t="s">
        <v>140</v>
      </c>
      <c r="J111" t="s">
        <v>139</v>
      </c>
      <c r="K111" t="s">
        <v>147</v>
      </c>
      <c r="M111">
        <v>11.1</v>
      </c>
      <c r="N111">
        <v>-12.2</v>
      </c>
    </row>
    <row r="112" spans="4:14">
      <c r="E112">
        <v>5.5</v>
      </c>
      <c r="F112">
        <v>-40</v>
      </c>
      <c r="G112">
        <v>1.998</v>
      </c>
      <c r="H112" t="s">
        <v>138</v>
      </c>
      <c r="I112" t="s">
        <v>140</v>
      </c>
      <c r="J112" t="s">
        <v>139</v>
      </c>
      <c r="K112" t="s">
        <v>147</v>
      </c>
      <c r="M112">
        <v>11.2</v>
      </c>
      <c r="N112">
        <v>-12.4</v>
      </c>
    </row>
    <row r="113" spans="4:14">
      <c r="E113">
        <v>4.5</v>
      </c>
      <c r="F113">
        <v>150</v>
      </c>
      <c r="G113">
        <v>1.998</v>
      </c>
      <c r="H113" t="s">
        <v>138</v>
      </c>
      <c r="I113" t="s">
        <v>140</v>
      </c>
      <c r="J113" t="s">
        <v>139</v>
      </c>
      <c r="K113" t="s">
        <v>147</v>
      </c>
      <c r="M113">
        <v>11.3</v>
      </c>
      <c r="N113">
        <v>-12.6</v>
      </c>
    </row>
    <row r="114" spans="4:14">
      <c r="E114">
        <v>5.5</v>
      </c>
      <c r="F114">
        <v>150</v>
      </c>
      <c r="G114">
        <v>1.998</v>
      </c>
      <c r="H114" t="s">
        <v>138</v>
      </c>
      <c r="I114" t="s">
        <v>140</v>
      </c>
      <c r="J114" t="s">
        <v>139</v>
      </c>
      <c r="K114" t="s">
        <v>147</v>
      </c>
      <c r="M114">
        <v>11.4</v>
      </c>
      <c r="N114">
        <v>-12.8</v>
      </c>
    </row>
    <row r="115" spans="4:14">
      <c r="E115">
        <v>4.5</v>
      </c>
      <c r="F115">
        <v>-40</v>
      </c>
      <c r="G115">
        <v>2.0019999999999998</v>
      </c>
      <c r="H115" t="s">
        <v>138</v>
      </c>
      <c r="I115" t="s">
        <v>140</v>
      </c>
      <c r="J115" t="s">
        <v>139</v>
      </c>
      <c r="K115" t="s">
        <v>147</v>
      </c>
      <c r="M115">
        <v>11.5</v>
      </c>
      <c r="N115">
        <v>-13</v>
      </c>
    </row>
    <row r="116" spans="4:14">
      <c r="E116">
        <v>5.5</v>
      </c>
      <c r="F116">
        <v>-40</v>
      </c>
      <c r="G116">
        <v>2.0019999999999998</v>
      </c>
      <c r="H116" t="s">
        <v>138</v>
      </c>
      <c r="I116" t="s">
        <v>140</v>
      </c>
      <c r="J116" t="s">
        <v>139</v>
      </c>
      <c r="K116" t="s">
        <v>147</v>
      </c>
      <c r="M116">
        <v>11.6</v>
      </c>
      <c r="N116">
        <v>-13.2</v>
      </c>
    </row>
    <row r="117" spans="4:14">
      <c r="E117">
        <v>4.5</v>
      </c>
      <c r="F117">
        <v>150</v>
      </c>
      <c r="G117">
        <v>2.0019999999999998</v>
      </c>
      <c r="H117" t="s">
        <v>138</v>
      </c>
      <c r="I117" t="s">
        <v>140</v>
      </c>
      <c r="J117" t="s">
        <v>139</v>
      </c>
      <c r="K117" t="s">
        <v>147</v>
      </c>
      <c r="M117">
        <v>11.7</v>
      </c>
      <c r="N117">
        <v>-13.4</v>
      </c>
    </row>
    <row r="118" spans="4:14">
      <c r="E118">
        <v>5.5</v>
      </c>
      <c r="F118">
        <v>150</v>
      </c>
      <c r="G118">
        <v>2.0019999999999998</v>
      </c>
      <c r="H118" t="s">
        <v>138</v>
      </c>
      <c r="I118" t="s">
        <v>140</v>
      </c>
      <c r="J118" t="s">
        <v>139</v>
      </c>
      <c r="K118" t="s">
        <v>147</v>
      </c>
      <c r="M118">
        <v>11.8</v>
      </c>
      <c r="N118">
        <v>-13.6</v>
      </c>
    </row>
    <row r="119" spans="4:14">
      <c r="D119" t="s">
        <v>238</v>
      </c>
      <c r="E119">
        <v>4.5</v>
      </c>
      <c r="F119">
        <v>-40</v>
      </c>
      <c r="G119">
        <v>1.998</v>
      </c>
      <c r="H119" t="s">
        <v>140</v>
      </c>
      <c r="I119" t="s">
        <v>140</v>
      </c>
      <c r="J119" t="s">
        <v>141</v>
      </c>
      <c r="K119" t="s">
        <v>147</v>
      </c>
      <c r="M119">
        <v>11.9</v>
      </c>
      <c r="N119">
        <v>-13.8</v>
      </c>
    </row>
    <row r="120" spans="4:14">
      <c r="E120">
        <v>5.5</v>
      </c>
      <c r="F120">
        <v>-40</v>
      </c>
      <c r="G120">
        <v>1.998</v>
      </c>
      <c r="H120" t="s">
        <v>140</v>
      </c>
      <c r="I120" t="s">
        <v>140</v>
      </c>
      <c r="J120" t="s">
        <v>141</v>
      </c>
      <c r="K120" t="s">
        <v>147</v>
      </c>
      <c r="M120">
        <v>12</v>
      </c>
      <c r="N120">
        <v>-14</v>
      </c>
    </row>
    <row r="121" spans="4:14">
      <c r="E121">
        <v>4.5</v>
      </c>
      <c r="F121">
        <v>150</v>
      </c>
      <c r="G121">
        <v>1.998</v>
      </c>
      <c r="H121" t="s">
        <v>140</v>
      </c>
      <c r="I121" t="s">
        <v>140</v>
      </c>
      <c r="J121" t="s">
        <v>141</v>
      </c>
      <c r="K121" t="s">
        <v>147</v>
      </c>
      <c r="M121">
        <v>12.1</v>
      </c>
      <c r="N121">
        <v>-14.2</v>
      </c>
    </row>
    <row r="122" spans="4:14">
      <c r="E122">
        <v>5.5</v>
      </c>
      <c r="F122">
        <v>150</v>
      </c>
      <c r="G122">
        <v>1.998</v>
      </c>
      <c r="H122" t="s">
        <v>140</v>
      </c>
      <c r="I122" t="s">
        <v>140</v>
      </c>
      <c r="J122" t="s">
        <v>141</v>
      </c>
      <c r="K122" t="s">
        <v>147</v>
      </c>
      <c r="M122">
        <v>12.2</v>
      </c>
      <c r="N122">
        <v>-14.4</v>
      </c>
    </row>
    <row r="123" spans="4:14">
      <c r="E123">
        <v>4.5</v>
      </c>
      <c r="F123">
        <v>-40</v>
      </c>
      <c r="G123">
        <v>2.0019999999999998</v>
      </c>
      <c r="H123" t="s">
        <v>140</v>
      </c>
      <c r="I123" t="s">
        <v>140</v>
      </c>
      <c r="J123" t="s">
        <v>141</v>
      </c>
      <c r="K123" t="s">
        <v>147</v>
      </c>
      <c r="M123">
        <v>12.3</v>
      </c>
      <c r="N123">
        <v>-14.6</v>
      </c>
    </row>
    <row r="124" spans="4:14">
      <c r="E124">
        <v>5.5</v>
      </c>
      <c r="F124">
        <v>-40</v>
      </c>
      <c r="G124">
        <v>2.0019999999999998</v>
      </c>
      <c r="H124" t="s">
        <v>140</v>
      </c>
      <c r="I124" t="s">
        <v>140</v>
      </c>
      <c r="J124" t="s">
        <v>141</v>
      </c>
      <c r="K124" t="s">
        <v>147</v>
      </c>
      <c r="M124">
        <v>12.4</v>
      </c>
      <c r="N124">
        <v>-14.8</v>
      </c>
    </row>
    <row r="125" spans="4:14">
      <c r="E125">
        <v>4.5</v>
      </c>
      <c r="F125">
        <v>150</v>
      </c>
      <c r="G125">
        <v>2.0019999999999998</v>
      </c>
      <c r="H125" t="s">
        <v>140</v>
      </c>
      <c r="I125" t="s">
        <v>140</v>
      </c>
      <c r="J125" t="s">
        <v>141</v>
      </c>
      <c r="K125" t="s">
        <v>147</v>
      </c>
      <c r="M125">
        <v>12.5</v>
      </c>
      <c r="N125">
        <v>-15</v>
      </c>
    </row>
    <row r="126" spans="4:14">
      <c r="E126">
        <v>5.5</v>
      </c>
      <c r="F126">
        <v>150</v>
      </c>
      <c r="G126">
        <v>2.0019999999999998</v>
      </c>
      <c r="H126" t="s">
        <v>140</v>
      </c>
      <c r="I126" t="s">
        <v>140</v>
      </c>
      <c r="J126" t="s">
        <v>141</v>
      </c>
      <c r="K126" t="s">
        <v>147</v>
      </c>
      <c r="M126">
        <v>12.6</v>
      </c>
      <c r="N126">
        <v>-15.2</v>
      </c>
    </row>
    <row r="127" spans="4:14">
      <c r="D127" t="s">
        <v>239</v>
      </c>
      <c r="E127">
        <v>4.5</v>
      </c>
      <c r="F127">
        <v>-40</v>
      </c>
      <c r="G127">
        <v>1.998</v>
      </c>
      <c r="H127" t="s">
        <v>142</v>
      </c>
      <c r="I127" t="s">
        <v>140</v>
      </c>
      <c r="J127" t="s">
        <v>143</v>
      </c>
      <c r="K127" t="s">
        <v>147</v>
      </c>
      <c r="M127">
        <v>12.7</v>
      </c>
      <c r="N127">
        <v>-15.4</v>
      </c>
    </row>
    <row r="128" spans="4:14">
      <c r="E128">
        <v>5.5</v>
      </c>
      <c r="F128">
        <v>-40</v>
      </c>
      <c r="G128">
        <v>1.998</v>
      </c>
      <c r="H128" t="s">
        <v>142</v>
      </c>
      <c r="I128" t="s">
        <v>140</v>
      </c>
      <c r="J128" t="s">
        <v>143</v>
      </c>
      <c r="K128" t="s">
        <v>147</v>
      </c>
      <c r="M128">
        <v>12.8</v>
      </c>
      <c r="N128">
        <v>-15.6</v>
      </c>
    </row>
    <row r="129" spans="4:14">
      <c r="E129">
        <v>4.5</v>
      </c>
      <c r="F129">
        <v>150</v>
      </c>
      <c r="G129">
        <v>1.998</v>
      </c>
      <c r="H129" t="s">
        <v>142</v>
      </c>
      <c r="I129" t="s">
        <v>140</v>
      </c>
      <c r="J129" t="s">
        <v>143</v>
      </c>
      <c r="K129" t="s">
        <v>147</v>
      </c>
      <c r="M129">
        <v>12.9</v>
      </c>
      <c r="N129">
        <v>-15.8</v>
      </c>
    </row>
    <row r="130" spans="4:14">
      <c r="E130">
        <v>5.5</v>
      </c>
      <c r="F130">
        <v>150</v>
      </c>
      <c r="G130">
        <v>1.998</v>
      </c>
      <c r="H130" t="s">
        <v>142</v>
      </c>
      <c r="I130" t="s">
        <v>140</v>
      </c>
      <c r="J130" t="s">
        <v>143</v>
      </c>
      <c r="K130" t="s">
        <v>147</v>
      </c>
      <c r="M130">
        <v>13</v>
      </c>
      <c r="N130">
        <v>-16</v>
      </c>
    </row>
    <row r="131" spans="4:14">
      <c r="E131">
        <v>4.5</v>
      </c>
      <c r="F131">
        <v>-40</v>
      </c>
      <c r="G131">
        <v>2.0019999999999998</v>
      </c>
      <c r="H131" t="s">
        <v>142</v>
      </c>
      <c r="I131" t="s">
        <v>140</v>
      </c>
      <c r="J131" t="s">
        <v>143</v>
      </c>
      <c r="K131" t="s">
        <v>147</v>
      </c>
      <c r="M131">
        <v>13.1</v>
      </c>
      <c r="N131">
        <v>-16.2</v>
      </c>
    </row>
    <row r="132" spans="4:14">
      <c r="E132">
        <v>5.5</v>
      </c>
      <c r="F132">
        <v>-40</v>
      </c>
      <c r="G132">
        <v>2.0019999999999998</v>
      </c>
      <c r="H132" t="s">
        <v>142</v>
      </c>
      <c r="I132" t="s">
        <v>140</v>
      </c>
      <c r="J132" t="s">
        <v>143</v>
      </c>
      <c r="K132" t="s">
        <v>147</v>
      </c>
      <c r="M132">
        <v>13.2</v>
      </c>
      <c r="N132">
        <v>-16.399999999999999</v>
      </c>
    </row>
    <row r="133" spans="4:14">
      <c r="E133">
        <v>4.5</v>
      </c>
      <c r="F133">
        <v>150</v>
      </c>
      <c r="G133">
        <v>2.0019999999999998</v>
      </c>
      <c r="H133" t="s">
        <v>142</v>
      </c>
      <c r="I133" t="s">
        <v>140</v>
      </c>
      <c r="J133" t="s">
        <v>143</v>
      </c>
      <c r="K133" t="s">
        <v>147</v>
      </c>
      <c r="M133">
        <v>13.3</v>
      </c>
      <c r="N133">
        <v>-16.600000000000001</v>
      </c>
    </row>
    <row r="134" spans="4:14">
      <c r="E134">
        <v>5.5</v>
      </c>
      <c r="F134">
        <v>150</v>
      </c>
      <c r="G134">
        <v>2.0019999999999998</v>
      </c>
      <c r="H134" t="s">
        <v>142</v>
      </c>
      <c r="I134" t="s">
        <v>140</v>
      </c>
      <c r="J134" t="s">
        <v>143</v>
      </c>
      <c r="K134" t="s">
        <v>147</v>
      </c>
      <c r="M134">
        <v>13.4</v>
      </c>
      <c r="N134">
        <v>-16.8</v>
      </c>
    </row>
    <row r="135" spans="4:14">
      <c r="D135" t="s">
        <v>240</v>
      </c>
      <c r="E135">
        <v>4.5</v>
      </c>
      <c r="F135">
        <v>-40</v>
      </c>
      <c r="G135">
        <v>1.998</v>
      </c>
      <c r="H135" t="s">
        <v>136</v>
      </c>
      <c r="I135" t="s">
        <v>142</v>
      </c>
      <c r="J135" t="s">
        <v>137</v>
      </c>
      <c r="K135" t="s">
        <v>147</v>
      </c>
      <c r="M135">
        <v>13.5</v>
      </c>
      <c r="N135">
        <v>-17</v>
      </c>
    </row>
    <row r="136" spans="4:14">
      <c r="E136">
        <v>5.5</v>
      </c>
      <c r="F136">
        <v>-40</v>
      </c>
      <c r="G136">
        <v>1.998</v>
      </c>
      <c r="H136" t="s">
        <v>136</v>
      </c>
      <c r="I136" t="s">
        <v>142</v>
      </c>
      <c r="J136" t="s">
        <v>137</v>
      </c>
      <c r="K136" t="s">
        <v>147</v>
      </c>
      <c r="M136">
        <v>13.6</v>
      </c>
      <c r="N136">
        <v>-17.2</v>
      </c>
    </row>
    <row r="137" spans="4:14">
      <c r="E137">
        <v>4.5</v>
      </c>
      <c r="F137">
        <v>150</v>
      </c>
      <c r="G137">
        <v>1.998</v>
      </c>
      <c r="H137" t="s">
        <v>136</v>
      </c>
      <c r="I137" t="s">
        <v>142</v>
      </c>
      <c r="J137" t="s">
        <v>137</v>
      </c>
      <c r="K137" t="s">
        <v>147</v>
      </c>
      <c r="M137">
        <v>13.7</v>
      </c>
      <c r="N137">
        <v>-17.399999999999999</v>
      </c>
    </row>
    <row r="138" spans="4:14">
      <c r="E138">
        <v>5.5</v>
      </c>
      <c r="F138">
        <v>150</v>
      </c>
      <c r="G138">
        <v>1.998</v>
      </c>
      <c r="H138" t="s">
        <v>136</v>
      </c>
      <c r="I138" t="s">
        <v>142</v>
      </c>
      <c r="J138" t="s">
        <v>137</v>
      </c>
      <c r="K138" t="s">
        <v>147</v>
      </c>
      <c r="M138">
        <v>13.8</v>
      </c>
      <c r="N138">
        <v>-17.600000000000001</v>
      </c>
    </row>
    <row r="139" spans="4:14">
      <c r="E139">
        <v>4.5</v>
      </c>
      <c r="F139">
        <v>-40</v>
      </c>
      <c r="G139">
        <v>2.0019999999999998</v>
      </c>
      <c r="H139" t="s">
        <v>136</v>
      </c>
      <c r="I139" t="s">
        <v>142</v>
      </c>
      <c r="J139" t="s">
        <v>137</v>
      </c>
      <c r="K139" t="s">
        <v>147</v>
      </c>
      <c r="M139">
        <v>13.9</v>
      </c>
      <c r="N139">
        <v>-17.8</v>
      </c>
    </row>
    <row r="140" spans="4:14">
      <c r="E140">
        <v>5.5</v>
      </c>
      <c r="F140">
        <v>-40</v>
      </c>
      <c r="G140">
        <v>2.0019999999999998</v>
      </c>
      <c r="H140" t="s">
        <v>136</v>
      </c>
      <c r="I140" t="s">
        <v>142</v>
      </c>
      <c r="J140" t="s">
        <v>137</v>
      </c>
      <c r="K140" t="s">
        <v>147</v>
      </c>
      <c r="M140">
        <v>14</v>
      </c>
      <c r="N140">
        <v>-18</v>
      </c>
    </row>
    <row r="141" spans="4:14">
      <c r="E141">
        <v>4.5</v>
      </c>
      <c r="F141">
        <v>150</v>
      </c>
      <c r="G141">
        <v>2.0019999999999998</v>
      </c>
      <c r="H141" t="s">
        <v>136</v>
      </c>
      <c r="I141" t="s">
        <v>142</v>
      </c>
      <c r="J141" t="s">
        <v>137</v>
      </c>
      <c r="K141" t="s">
        <v>147</v>
      </c>
      <c r="M141">
        <v>14.1</v>
      </c>
      <c r="N141">
        <v>-18.2</v>
      </c>
    </row>
    <row r="142" spans="4:14">
      <c r="E142">
        <v>5.5</v>
      </c>
      <c r="F142">
        <v>150</v>
      </c>
      <c r="G142">
        <v>2.0019999999999998</v>
      </c>
      <c r="H142" t="s">
        <v>136</v>
      </c>
      <c r="I142" t="s">
        <v>142</v>
      </c>
      <c r="J142" t="s">
        <v>137</v>
      </c>
      <c r="K142" t="s">
        <v>147</v>
      </c>
      <c r="M142">
        <v>14.2</v>
      </c>
      <c r="N142">
        <v>-18.399999999999999</v>
      </c>
    </row>
    <row r="143" spans="4:14">
      <c r="D143" t="s">
        <v>241</v>
      </c>
      <c r="E143">
        <v>4.5</v>
      </c>
      <c r="F143">
        <v>-40</v>
      </c>
      <c r="G143">
        <v>1.998</v>
      </c>
      <c r="H143" t="s">
        <v>138</v>
      </c>
      <c r="I143" t="s">
        <v>142</v>
      </c>
      <c r="J143" t="s">
        <v>139</v>
      </c>
      <c r="K143" t="s">
        <v>147</v>
      </c>
      <c r="M143">
        <v>14.3</v>
      </c>
      <c r="N143">
        <v>-18.600000000000001</v>
      </c>
    </row>
    <row r="144" spans="4:14">
      <c r="E144">
        <v>5.5</v>
      </c>
      <c r="F144">
        <v>-40</v>
      </c>
      <c r="G144">
        <v>1.998</v>
      </c>
      <c r="H144" t="s">
        <v>138</v>
      </c>
      <c r="I144" t="s">
        <v>142</v>
      </c>
      <c r="J144" t="s">
        <v>139</v>
      </c>
      <c r="K144" t="s">
        <v>147</v>
      </c>
      <c r="M144">
        <v>14.4</v>
      </c>
      <c r="N144">
        <v>-18.8</v>
      </c>
    </row>
    <row r="145" spans="4:14">
      <c r="E145">
        <v>4.5</v>
      </c>
      <c r="F145">
        <v>150</v>
      </c>
      <c r="G145">
        <v>1.998</v>
      </c>
      <c r="H145" t="s">
        <v>138</v>
      </c>
      <c r="I145" t="s">
        <v>142</v>
      </c>
      <c r="J145" t="s">
        <v>139</v>
      </c>
      <c r="K145" t="s">
        <v>147</v>
      </c>
      <c r="M145">
        <v>14.5</v>
      </c>
      <c r="N145">
        <v>-19</v>
      </c>
    </row>
    <row r="146" spans="4:14">
      <c r="E146">
        <v>5.5</v>
      </c>
      <c r="F146">
        <v>150</v>
      </c>
      <c r="G146">
        <v>1.998</v>
      </c>
      <c r="H146" t="s">
        <v>138</v>
      </c>
      <c r="I146" t="s">
        <v>142</v>
      </c>
      <c r="J146" t="s">
        <v>139</v>
      </c>
      <c r="K146" t="s">
        <v>147</v>
      </c>
      <c r="M146">
        <v>14.6</v>
      </c>
      <c r="N146">
        <v>-19.2</v>
      </c>
    </row>
    <row r="147" spans="4:14">
      <c r="E147">
        <v>4.5</v>
      </c>
      <c r="F147">
        <v>-40</v>
      </c>
      <c r="G147">
        <v>2.0019999999999998</v>
      </c>
      <c r="H147" t="s">
        <v>138</v>
      </c>
      <c r="I147" t="s">
        <v>142</v>
      </c>
      <c r="J147" t="s">
        <v>139</v>
      </c>
      <c r="K147" t="s">
        <v>147</v>
      </c>
      <c r="M147">
        <v>14.7</v>
      </c>
      <c r="N147">
        <v>-19.399999999999999</v>
      </c>
    </row>
    <row r="148" spans="4:14">
      <c r="E148">
        <v>5.5</v>
      </c>
      <c r="F148">
        <v>-40</v>
      </c>
      <c r="G148">
        <v>2.0019999999999998</v>
      </c>
      <c r="H148" t="s">
        <v>138</v>
      </c>
      <c r="I148" t="s">
        <v>142</v>
      </c>
      <c r="J148" t="s">
        <v>139</v>
      </c>
      <c r="K148" t="s">
        <v>147</v>
      </c>
      <c r="M148">
        <v>14.8</v>
      </c>
      <c r="N148">
        <v>-19.600000000000001</v>
      </c>
    </row>
    <row r="149" spans="4:14">
      <c r="E149">
        <v>4.5</v>
      </c>
      <c r="F149">
        <v>150</v>
      </c>
      <c r="G149">
        <v>2.0019999999999998</v>
      </c>
      <c r="H149" t="s">
        <v>138</v>
      </c>
      <c r="I149" t="s">
        <v>142</v>
      </c>
      <c r="J149" t="s">
        <v>139</v>
      </c>
      <c r="K149" t="s">
        <v>147</v>
      </c>
      <c r="M149">
        <v>14.9</v>
      </c>
      <c r="N149">
        <v>-19.8</v>
      </c>
    </row>
    <row r="150" spans="4:14">
      <c r="E150">
        <v>5.5</v>
      </c>
      <c r="F150">
        <v>150</v>
      </c>
      <c r="G150">
        <v>2.0019999999999998</v>
      </c>
      <c r="H150" t="s">
        <v>138</v>
      </c>
      <c r="I150" t="s">
        <v>142</v>
      </c>
      <c r="J150" t="s">
        <v>139</v>
      </c>
      <c r="K150" t="s">
        <v>147</v>
      </c>
      <c r="M150">
        <v>15</v>
      </c>
      <c r="N150">
        <v>-20</v>
      </c>
    </row>
    <row r="151" spans="4:14">
      <c r="D151" t="s">
        <v>242</v>
      </c>
      <c r="E151">
        <v>4.5</v>
      </c>
      <c r="F151">
        <v>-40</v>
      </c>
      <c r="G151">
        <v>1.998</v>
      </c>
      <c r="H151" t="s">
        <v>140</v>
      </c>
      <c r="I151" t="s">
        <v>142</v>
      </c>
      <c r="J151" t="s">
        <v>141</v>
      </c>
      <c r="K151" t="s">
        <v>147</v>
      </c>
      <c r="M151">
        <v>15.1</v>
      </c>
      <c r="N151">
        <v>-20.2</v>
      </c>
    </row>
    <row r="152" spans="4:14">
      <c r="E152">
        <v>5.5</v>
      </c>
      <c r="F152">
        <v>-40</v>
      </c>
      <c r="G152">
        <v>1.998</v>
      </c>
      <c r="H152" t="s">
        <v>140</v>
      </c>
      <c r="I152" t="s">
        <v>142</v>
      </c>
      <c r="J152" t="s">
        <v>141</v>
      </c>
      <c r="K152" t="s">
        <v>147</v>
      </c>
      <c r="M152">
        <v>15.2</v>
      </c>
      <c r="N152">
        <v>-20.399999999999999</v>
      </c>
    </row>
    <row r="153" spans="4:14">
      <c r="E153">
        <v>4.5</v>
      </c>
      <c r="F153">
        <v>150</v>
      </c>
      <c r="G153">
        <v>1.998</v>
      </c>
      <c r="H153" t="s">
        <v>140</v>
      </c>
      <c r="I153" t="s">
        <v>142</v>
      </c>
      <c r="J153" t="s">
        <v>141</v>
      </c>
      <c r="K153" t="s">
        <v>147</v>
      </c>
      <c r="M153">
        <v>15.3</v>
      </c>
      <c r="N153">
        <v>-20.6</v>
      </c>
    </row>
    <row r="154" spans="4:14">
      <c r="E154">
        <v>5.5</v>
      </c>
      <c r="F154">
        <v>150</v>
      </c>
      <c r="G154">
        <v>1.998</v>
      </c>
      <c r="H154" t="s">
        <v>140</v>
      </c>
      <c r="I154" t="s">
        <v>142</v>
      </c>
      <c r="J154" t="s">
        <v>141</v>
      </c>
      <c r="K154" t="s">
        <v>147</v>
      </c>
      <c r="M154">
        <v>15.4</v>
      </c>
      <c r="N154">
        <v>-20.8</v>
      </c>
    </row>
    <row r="155" spans="4:14">
      <c r="E155">
        <v>4.5</v>
      </c>
      <c r="F155">
        <v>-40</v>
      </c>
      <c r="G155">
        <v>2.0019999999999998</v>
      </c>
      <c r="H155" t="s">
        <v>140</v>
      </c>
      <c r="I155" t="s">
        <v>142</v>
      </c>
      <c r="J155" t="s">
        <v>141</v>
      </c>
      <c r="K155" t="s">
        <v>147</v>
      </c>
      <c r="M155">
        <v>15.5</v>
      </c>
      <c r="N155">
        <v>-21</v>
      </c>
    </row>
    <row r="156" spans="4:14">
      <c r="E156">
        <v>5.5</v>
      </c>
      <c r="F156">
        <v>-40</v>
      </c>
      <c r="G156">
        <v>2.0019999999999998</v>
      </c>
      <c r="H156" t="s">
        <v>140</v>
      </c>
      <c r="I156" t="s">
        <v>142</v>
      </c>
      <c r="J156" t="s">
        <v>141</v>
      </c>
      <c r="K156" t="s">
        <v>147</v>
      </c>
      <c r="M156">
        <v>15.6</v>
      </c>
      <c r="N156">
        <v>-21.2</v>
      </c>
    </row>
    <row r="157" spans="4:14">
      <c r="E157">
        <v>4.5</v>
      </c>
      <c r="F157">
        <v>150</v>
      </c>
      <c r="G157">
        <v>2.0019999999999998</v>
      </c>
      <c r="H157" t="s">
        <v>140</v>
      </c>
      <c r="I157" t="s">
        <v>142</v>
      </c>
      <c r="J157" t="s">
        <v>141</v>
      </c>
      <c r="K157" t="s">
        <v>147</v>
      </c>
      <c r="M157">
        <v>15.7</v>
      </c>
      <c r="N157">
        <v>-21.4</v>
      </c>
    </row>
    <row r="158" spans="4:14">
      <c r="E158">
        <v>5.5</v>
      </c>
      <c r="F158">
        <v>150</v>
      </c>
      <c r="G158">
        <v>2.0019999999999998</v>
      </c>
      <c r="H158" t="s">
        <v>140</v>
      </c>
      <c r="I158" t="s">
        <v>142</v>
      </c>
      <c r="J158" t="s">
        <v>141</v>
      </c>
      <c r="K158" t="s">
        <v>147</v>
      </c>
      <c r="M158">
        <v>15.8</v>
      </c>
      <c r="N158">
        <v>-21.6</v>
      </c>
    </row>
    <row r="159" spans="4:14">
      <c r="D159" t="s">
        <v>243</v>
      </c>
      <c r="E159">
        <v>4.5</v>
      </c>
      <c r="F159">
        <v>-40</v>
      </c>
      <c r="G159">
        <v>1.998</v>
      </c>
      <c r="H159" t="s">
        <v>142</v>
      </c>
      <c r="I159" t="s">
        <v>142</v>
      </c>
      <c r="J159" t="s">
        <v>143</v>
      </c>
      <c r="K159" t="s">
        <v>147</v>
      </c>
      <c r="M159">
        <v>15.9</v>
      </c>
      <c r="N159">
        <v>-21.8</v>
      </c>
    </row>
    <row r="160" spans="4:14">
      <c r="E160">
        <v>5.5</v>
      </c>
      <c r="F160">
        <v>-40</v>
      </c>
      <c r="G160">
        <v>1.998</v>
      </c>
      <c r="H160" t="s">
        <v>142</v>
      </c>
      <c r="I160" t="s">
        <v>142</v>
      </c>
      <c r="J160" t="s">
        <v>143</v>
      </c>
      <c r="K160" t="s">
        <v>147</v>
      </c>
      <c r="M160">
        <v>16</v>
      </c>
      <c r="N160">
        <v>-22</v>
      </c>
    </row>
    <row r="161" spans="5:14">
      <c r="E161">
        <v>4.5</v>
      </c>
      <c r="F161">
        <v>150</v>
      </c>
      <c r="G161">
        <v>1.998</v>
      </c>
      <c r="H161" t="s">
        <v>142</v>
      </c>
      <c r="I161" t="s">
        <v>142</v>
      </c>
      <c r="J161" t="s">
        <v>143</v>
      </c>
      <c r="K161" t="s">
        <v>147</v>
      </c>
      <c r="M161">
        <v>16.100000000000001</v>
      </c>
      <c r="N161">
        <v>-22.2</v>
      </c>
    </row>
    <row r="162" spans="5:14">
      <c r="E162">
        <v>5.5</v>
      </c>
      <c r="F162">
        <v>150</v>
      </c>
      <c r="G162">
        <v>1.998</v>
      </c>
      <c r="H162" t="s">
        <v>142</v>
      </c>
      <c r="I162" t="s">
        <v>142</v>
      </c>
      <c r="J162" t="s">
        <v>143</v>
      </c>
      <c r="K162" t="s">
        <v>147</v>
      </c>
      <c r="M162">
        <v>16.2</v>
      </c>
      <c r="N162">
        <v>-22.4</v>
      </c>
    </row>
    <row r="163" spans="5:14">
      <c r="E163">
        <v>4.5</v>
      </c>
      <c r="F163">
        <v>-40</v>
      </c>
      <c r="G163">
        <v>2.0019999999999998</v>
      </c>
      <c r="H163" t="s">
        <v>142</v>
      </c>
      <c r="I163" t="s">
        <v>142</v>
      </c>
      <c r="J163" t="s">
        <v>143</v>
      </c>
      <c r="K163" t="s">
        <v>147</v>
      </c>
      <c r="M163">
        <v>16.3</v>
      </c>
      <c r="N163">
        <v>-22.6</v>
      </c>
    </row>
    <row r="164" spans="5:14">
      <c r="E164">
        <v>5.5</v>
      </c>
      <c r="F164">
        <v>-40</v>
      </c>
      <c r="G164">
        <v>2.0019999999999998</v>
      </c>
      <c r="H164" t="s">
        <v>142</v>
      </c>
      <c r="I164" t="s">
        <v>142</v>
      </c>
      <c r="J164" t="s">
        <v>143</v>
      </c>
      <c r="K164" t="s">
        <v>147</v>
      </c>
      <c r="M164">
        <v>16.399999999999999</v>
      </c>
      <c r="N164">
        <v>-22.8</v>
      </c>
    </row>
    <row r="165" spans="5:14">
      <c r="E165">
        <v>4.5</v>
      </c>
      <c r="F165">
        <v>150</v>
      </c>
      <c r="G165">
        <v>2.0019999999999998</v>
      </c>
      <c r="H165" t="s">
        <v>142</v>
      </c>
      <c r="I165" t="s">
        <v>142</v>
      </c>
      <c r="J165" t="s">
        <v>143</v>
      </c>
      <c r="K165" t="s">
        <v>147</v>
      </c>
      <c r="M165">
        <v>16.5</v>
      </c>
      <c r="N165">
        <v>-23</v>
      </c>
    </row>
    <row r="166" spans="5:14">
      <c r="E166">
        <v>5.5</v>
      </c>
      <c r="F166">
        <v>150</v>
      </c>
      <c r="G166">
        <v>2.0019999999999998</v>
      </c>
      <c r="H166" t="s">
        <v>142</v>
      </c>
      <c r="I166" t="s">
        <v>142</v>
      </c>
      <c r="J166" t="s">
        <v>143</v>
      </c>
      <c r="K166" t="s">
        <v>147</v>
      </c>
    </row>
    <row r="167" spans="5:14">
      <c r="N167" s="46"/>
    </row>
    <row r="168" spans="5:14">
      <c r="N168" s="46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A11:AV34"/>
  <sheetViews>
    <sheetView topLeftCell="W21" zoomScale="70" zoomScaleNormal="70" workbookViewId="0">
      <selection activeCell="AL50" sqref="AL50:AW50"/>
    </sheetView>
  </sheetViews>
  <sheetFormatPr defaultRowHeight="13"/>
  <sheetData>
    <row r="11" spans="27:43">
      <c r="AB11">
        <v>0</v>
      </c>
      <c r="AC11" t="s">
        <v>66</v>
      </c>
      <c r="AD11">
        <v>5</v>
      </c>
      <c r="AE11">
        <v>4.5</v>
      </c>
      <c r="AF11">
        <v>5.5</v>
      </c>
      <c r="AI11">
        <v>0</v>
      </c>
      <c r="AJ11" t="s">
        <v>66</v>
      </c>
      <c r="AK11">
        <v>4.5</v>
      </c>
      <c r="AL11">
        <v>5.5</v>
      </c>
      <c r="AP11" t="s">
        <v>525</v>
      </c>
      <c r="AQ11">
        <v>0</v>
      </c>
    </row>
    <row r="12" spans="27:43">
      <c r="AB12">
        <v>1</v>
      </c>
      <c r="AC12" t="s">
        <v>67</v>
      </c>
      <c r="AD12">
        <v>25</v>
      </c>
      <c r="AE12">
        <v>-40</v>
      </c>
      <c r="AF12">
        <v>150</v>
      </c>
      <c r="AI12">
        <v>1</v>
      </c>
      <c r="AJ12" t="s">
        <v>251</v>
      </c>
      <c r="AK12">
        <v>-40</v>
      </c>
      <c r="AL12">
        <v>150</v>
      </c>
      <c r="AP12" t="s">
        <v>528</v>
      </c>
      <c r="AQ12">
        <v>5</v>
      </c>
    </row>
    <row r="13" spans="27:43">
      <c r="AB13">
        <v>2</v>
      </c>
      <c r="AC13" t="s">
        <v>182</v>
      </c>
      <c r="AD13">
        <v>2</v>
      </c>
      <c r="AE13">
        <v>1.998</v>
      </c>
      <c r="AF13">
        <v>2.0019999999999998</v>
      </c>
      <c r="AI13">
        <v>2</v>
      </c>
      <c r="AJ13" t="s">
        <v>182</v>
      </c>
      <c r="AK13">
        <v>1.998</v>
      </c>
      <c r="AL13">
        <v>2.0019999999999998</v>
      </c>
      <c r="AP13" t="s">
        <v>529</v>
      </c>
      <c r="AQ13">
        <v>5</v>
      </c>
    </row>
    <row r="14" spans="27:43">
      <c r="AB14">
        <v>3</v>
      </c>
      <c r="AC14" t="s">
        <v>132</v>
      </c>
      <c r="AD14" t="s">
        <v>33</v>
      </c>
      <c r="AI14">
        <v>3</v>
      </c>
      <c r="AJ14" t="s">
        <v>132</v>
      </c>
      <c r="AK14" t="s">
        <v>137</v>
      </c>
      <c r="AL14" t="s">
        <v>139</v>
      </c>
      <c r="AM14" t="s">
        <v>141</v>
      </c>
      <c r="AN14" t="s">
        <v>143</v>
      </c>
      <c r="AP14" t="s">
        <v>530</v>
      </c>
      <c r="AQ14">
        <v>5</v>
      </c>
    </row>
    <row r="15" spans="27:43">
      <c r="AA15">
        <v>3</v>
      </c>
      <c r="AC15" t="s">
        <v>149</v>
      </c>
      <c r="AD15" t="s">
        <v>33</v>
      </c>
      <c r="AI15">
        <v>4</v>
      </c>
      <c r="AJ15" t="s">
        <v>149</v>
      </c>
      <c r="AK15" t="s">
        <v>137</v>
      </c>
      <c r="AL15" t="s">
        <v>139</v>
      </c>
      <c r="AM15" t="s">
        <v>141</v>
      </c>
      <c r="AN15" t="s">
        <v>143</v>
      </c>
      <c r="AP15" t="s">
        <v>531</v>
      </c>
      <c r="AQ15">
        <v>5</v>
      </c>
    </row>
    <row r="16" spans="27:43">
      <c r="AA16">
        <v>3</v>
      </c>
      <c r="AC16" t="s">
        <v>151</v>
      </c>
      <c r="AD16" t="s">
        <v>33</v>
      </c>
      <c r="AH16">
        <v>3</v>
      </c>
      <c r="AJ16" t="s">
        <v>151</v>
      </c>
      <c r="AK16" t="s">
        <v>137</v>
      </c>
      <c r="AL16" t="s">
        <v>139</v>
      </c>
      <c r="AM16" t="s">
        <v>141</v>
      </c>
      <c r="AN16" t="s">
        <v>143</v>
      </c>
    </row>
    <row r="17" spans="27:48">
      <c r="AA17">
        <v>3</v>
      </c>
      <c r="AC17" t="s">
        <v>135</v>
      </c>
      <c r="AD17" t="s">
        <v>33</v>
      </c>
      <c r="AH17">
        <v>4</v>
      </c>
      <c r="AJ17" t="s">
        <v>135</v>
      </c>
      <c r="AK17" t="s">
        <v>145</v>
      </c>
      <c r="AL17" t="s">
        <v>147</v>
      </c>
    </row>
    <row r="27" spans="27:48" ht="13.5" thickBot="1"/>
    <row r="28" spans="27:48">
      <c r="AB28" s="30" t="s">
        <v>519</v>
      </c>
      <c r="AC28" s="24" t="s">
        <v>66</v>
      </c>
      <c r="AD28" s="25"/>
      <c r="AE28" s="21">
        <v>5</v>
      </c>
      <c r="AF28" s="6">
        <v>4.5</v>
      </c>
      <c r="AG28" s="7">
        <v>5.5</v>
      </c>
      <c r="AI28" s="30" t="s">
        <v>353</v>
      </c>
      <c r="AJ28" s="24" t="s">
        <v>66</v>
      </c>
      <c r="AK28" s="25"/>
      <c r="AL28" s="21">
        <v>4.5</v>
      </c>
      <c r="AM28" s="6">
        <v>5.5</v>
      </c>
      <c r="AN28" s="6"/>
      <c r="AO28" s="7"/>
      <c r="AS28" s="30" t="s">
        <v>532</v>
      </c>
      <c r="AT28" s="24" t="s">
        <v>524</v>
      </c>
      <c r="AU28" s="25"/>
      <c r="AV28" s="25">
        <v>0</v>
      </c>
    </row>
    <row r="29" spans="27:48">
      <c r="AB29" s="31"/>
      <c r="AC29" s="26" t="s">
        <v>67</v>
      </c>
      <c r="AD29" s="27"/>
      <c r="AE29" s="22">
        <v>25</v>
      </c>
      <c r="AF29" s="3">
        <v>-40</v>
      </c>
      <c r="AG29" s="9">
        <v>150</v>
      </c>
      <c r="AI29" s="31"/>
      <c r="AJ29" s="26" t="s">
        <v>251</v>
      </c>
      <c r="AK29" s="27"/>
      <c r="AL29" s="22">
        <v>-40</v>
      </c>
      <c r="AM29" s="3">
        <v>150</v>
      </c>
      <c r="AN29" s="3"/>
      <c r="AO29" s="9"/>
      <c r="AS29" s="31"/>
      <c r="AT29" s="26" t="s">
        <v>527</v>
      </c>
      <c r="AU29" s="27"/>
      <c r="AV29" s="27">
        <v>5</v>
      </c>
    </row>
    <row r="30" spans="27:48">
      <c r="AB30" s="31"/>
      <c r="AC30" s="26" t="s">
        <v>182</v>
      </c>
      <c r="AD30" s="27"/>
      <c r="AE30" s="22">
        <v>2</v>
      </c>
      <c r="AF30" s="3">
        <v>1.998</v>
      </c>
      <c r="AG30" s="9">
        <v>2.0019999999999998</v>
      </c>
      <c r="AI30" s="31"/>
      <c r="AJ30" s="26" t="s">
        <v>182</v>
      </c>
      <c r="AK30" s="27"/>
      <c r="AL30" s="22">
        <v>1.998</v>
      </c>
      <c r="AM30" s="3">
        <v>2.0019999999999998</v>
      </c>
      <c r="AN30" s="3"/>
      <c r="AO30" s="9"/>
      <c r="AS30" s="31"/>
      <c r="AT30" s="26" t="s">
        <v>526</v>
      </c>
      <c r="AU30" s="27"/>
      <c r="AV30" s="27">
        <v>5</v>
      </c>
    </row>
    <row r="31" spans="27:48">
      <c r="AB31" s="31"/>
      <c r="AC31" s="26" t="s">
        <v>132</v>
      </c>
      <c r="AD31" s="27"/>
      <c r="AE31" s="22" t="s">
        <v>33</v>
      </c>
      <c r="AF31" s="3"/>
      <c r="AG31" s="9"/>
      <c r="AI31" s="31"/>
      <c r="AJ31" s="26" t="s">
        <v>520</v>
      </c>
      <c r="AK31" s="27"/>
      <c r="AL31" s="22" t="s">
        <v>137</v>
      </c>
      <c r="AM31" s="3" t="s">
        <v>139</v>
      </c>
      <c r="AN31" s="3" t="s">
        <v>141</v>
      </c>
      <c r="AO31" s="9" t="s">
        <v>143</v>
      </c>
      <c r="AS31" s="31"/>
      <c r="AT31" s="26" t="s">
        <v>530</v>
      </c>
      <c r="AU31" s="27"/>
      <c r="AV31" s="27">
        <v>5</v>
      </c>
    </row>
    <row r="32" spans="27:48" ht="13.5" thickBot="1">
      <c r="AB32" s="31"/>
      <c r="AC32" s="26" t="s">
        <v>149</v>
      </c>
      <c r="AD32" s="27"/>
      <c r="AE32" s="22" t="s">
        <v>33</v>
      </c>
      <c r="AF32" s="3"/>
      <c r="AG32" s="9"/>
      <c r="AI32" s="31"/>
      <c r="AJ32" s="26" t="s">
        <v>522</v>
      </c>
      <c r="AK32" s="27"/>
      <c r="AL32" s="22" t="s">
        <v>137</v>
      </c>
      <c r="AM32" s="3" t="s">
        <v>139</v>
      </c>
      <c r="AN32" s="3" t="s">
        <v>141</v>
      </c>
      <c r="AO32" s="9" t="s">
        <v>143</v>
      </c>
      <c r="AS32" s="32"/>
      <c r="AT32" s="28" t="s">
        <v>531</v>
      </c>
      <c r="AU32" s="29"/>
      <c r="AV32" s="29">
        <v>5</v>
      </c>
    </row>
    <row r="33" spans="28:42">
      <c r="AB33" s="31"/>
      <c r="AC33" s="26" t="s">
        <v>151</v>
      </c>
      <c r="AD33" s="27"/>
      <c r="AE33" s="22" t="s">
        <v>33</v>
      </c>
      <c r="AF33" s="3"/>
      <c r="AG33" s="9"/>
      <c r="AI33" s="31"/>
      <c r="AJ33" s="26" t="s">
        <v>151</v>
      </c>
      <c r="AK33" s="27"/>
      <c r="AL33" s="22" t="s">
        <v>137</v>
      </c>
      <c r="AM33" s="3" t="s">
        <v>139</v>
      </c>
      <c r="AN33" s="3" t="s">
        <v>141</v>
      </c>
      <c r="AO33" s="9" t="s">
        <v>143</v>
      </c>
      <c r="AP33" s="33" t="s">
        <v>521</v>
      </c>
    </row>
    <row r="34" spans="28:42" ht="13.5" thickBot="1">
      <c r="AB34" s="32"/>
      <c r="AC34" s="28" t="s">
        <v>135</v>
      </c>
      <c r="AD34" s="29"/>
      <c r="AE34" s="23" t="s">
        <v>33</v>
      </c>
      <c r="AF34" s="11"/>
      <c r="AG34" s="4"/>
      <c r="AI34" s="32"/>
      <c r="AJ34" s="28" t="s">
        <v>135</v>
      </c>
      <c r="AK34" s="29"/>
      <c r="AL34" s="23" t="s">
        <v>145</v>
      </c>
      <c r="AM34" s="11" t="s">
        <v>147</v>
      </c>
      <c r="AN34" s="11"/>
      <c r="AO34" s="4"/>
      <c r="AP34" s="33" t="s">
        <v>523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3:P38"/>
  <sheetViews>
    <sheetView zoomScale="55" zoomScaleNormal="55" workbookViewId="0">
      <selection activeCell="F38" sqref="F38"/>
    </sheetView>
  </sheetViews>
  <sheetFormatPr defaultRowHeight="13"/>
  <sheetData>
    <row r="3" spans="3:16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</row>
    <row r="4" spans="3:16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</row>
    <row r="5" spans="3:16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</row>
    <row r="6" spans="3:16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</row>
    <row r="7" spans="3:16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</row>
    <row r="8" spans="3:16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3:16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3:16">
      <c r="D11" t="s">
        <v>152</v>
      </c>
      <c r="E11" t="s">
        <v>66</v>
      </c>
      <c r="F11" t="s">
        <v>67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</row>
    <row r="12" spans="3:16">
      <c r="D12" t="s">
        <v>228</v>
      </c>
      <c r="E12">
        <v>5</v>
      </c>
      <c r="F12">
        <v>25</v>
      </c>
      <c r="G12">
        <v>2</v>
      </c>
      <c r="H12" t="s">
        <v>62</v>
      </c>
      <c r="I12" t="s">
        <v>533</v>
      </c>
      <c r="J12" t="s">
        <v>533</v>
      </c>
      <c r="K12" t="s">
        <v>533</v>
      </c>
    </row>
    <row r="13" spans="3:16">
      <c r="E13">
        <v>4.5</v>
      </c>
      <c r="F13">
        <v>25</v>
      </c>
      <c r="G13">
        <v>2</v>
      </c>
      <c r="H13" t="s">
        <v>62</v>
      </c>
      <c r="I13" t="s">
        <v>533</v>
      </c>
      <c r="J13" t="s">
        <v>533</v>
      </c>
      <c r="K13" t="s">
        <v>533</v>
      </c>
    </row>
    <row r="14" spans="3:16">
      <c r="E14">
        <v>5.5</v>
      </c>
      <c r="F14">
        <v>25</v>
      </c>
      <c r="G14">
        <v>2</v>
      </c>
      <c r="H14" t="s">
        <v>62</v>
      </c>
      <c r="I14" t="s">
        <v>533</v>
      </c>
      <c r="J14" t="s">
        <v>533</v>
      </c>
      <c r="K14" t="s">
        <v>533</v>
      </c>
    </row>
    <row r="15" spans="3:16">
      <c r="E15">
        <v>5</v>
      </c>
      <c r="F15">
        <v>-40</v>
      </c>
      <c r="G15">
        <v>2</v>
      </c>
      <c r="H15" t="s">
        <v>62</v>
      </c>
      <c r="I15" t="s">
        <v>533</v>
      </c>
      <c r="J15" t="s">
        <v>533</v>
      </c>
      <c r="K15" t="s">
        <v>533</v>
      </c>
    </row>
    <row r="16" spans="3:16">
      <c r="E16">
        <v>4.5</v>
      </c>
      <c r="F16">
        <v>-40</v>
      </c>
      <c r="G16">
        <v>2</v>
      </c>
      <c r="H16" t="s">
        <v>62</v>
      </c>
      <c r="I16" t="s">
        <v>533</v>
      </c>
      <c r="J16" t="s">
        <v>533</v>
      </c>
      <c r="K16" t="s">
        <v>533</v>
      </c>
    </row>
    <row r="17" spans="5:11">
      <c r="E17">
        <v>5.5</v>
      </c>
      <c r="F17">
        <v>-40</v>
      </c>
      <c r="G17">
        <v>2</v>
      </c>
      <c r="H17" t="s">
        <v>62</v>
      </c>
      <c r="I17" t="s">
        <v>533</v>
      </c>
      <c r="J17" t="s">
        <v>533</v>
      </c>
      <c r="K17" t="s">
        <v>533</v>
      </c>
    </row>
    <row r="18" spans="5:11">
      <c r="E18">
        <v>5</v>
      </c>
      <c r="F18">
        <v>150</v>
      </c>
      <c r="G18">
        <v>2</v>
      </c>
      <c r="H18" t="s">
        <v>62</v>
      </c>
      <c r="I18" t="s">
        <v>533</v>
      </c>
      <c r="J18" t="s">
        <v>533</v>
      </c>
      <c r="K18" t="s">
        <v>533</v>
      </c>
    </row>
    <row r="19" spans="5:11">
      <c r="E19">
        <v>4.5</v>
      </c>
      <c r="F19">
        <v>150</v>
      </c>
      <c r="G19">
        <v>2</v>
      </c>
      <c r="H19" t="s">
        <v>62</v>
      </c>
      <c r="I19" t="s">
        <v>533</v>
      </c>
      <c r="J19" t="s">
        <v>533</v>
      </c>
      <c r="K19" t="s">
        <v>533</v>
      </c>
    </row>
    <row r="20" spans="5:11">
      <c r="E20">
        <v>5.5</v>
      </c>
      <c r="F20">
        <v>150</v>
      </c>
      <c r="G20">
        <v>2</v>
      </c>
      <c r="H20" t="s">
        <v>62</v>
      </c>
      <c r="I20" t="s">
        <v>533</v>
      </c>
      <c r="J20" t="s">
        <v>533</v>
      </c>
      <c r="K20" t="s">
        <v>533</v>
      </c>
    </row>
    <row r="21" spans="5:11">
      <c r="E21">
        <v>5</v>
      </c>
      <c r="F21">
        <v>25</v>
      </c>
      <c r="G21">
        <v>1.998</v>
      </c>
      <c r="H21" t="s">
        <v>62</v>
      </c>
      <c r="I21" t="s">
        <v>533</v>
      </c>
      <c r="J21" t="s">
        <v>533</v>
      </c>
      <c r="K21" t="s">
        <v>533</v>
      </c>
    </row>
    <row r="22" spans="5:11">
      <c r="E22">
        <v>4.5</v>
      </c>
      <c r="F22">
        <v>25</v>
      </c>
      <c r="G22">
        <v>1.998</v>
      </c>
      <c r="H22" t="s">
        <v>62</v>
      </c>
      <c r="I22" t="s">
        <v>533</v>
      </c>
      <c r="J22" t="s">
        <v>533</v>
      </c>
      <c r="K22" t="s">
        <v>533</v>
      </c>
    </row>
    <row r="23" spans="5:11">
      <c r="E23">
        <v>5.5</v>
      </c>
      <c r="F23">
        <v>25</v>
      </c>
      <c r="G23">
        <v>1.998</v>
      </c>
      <c r="H23" t="s">
        <v>62</v>
      </c>
      <c r="I23" t="s">
        <v>533</v>
      </c>
      <c r="J23" t="s">
        <v>533</v>
      </c>
      <c r="K23" t="s">
        <v>533</v>
      </c>
    </row>
    <row r="24" spans="5:11">
      <c r="E24">
        <v>5</v>
      </c>
      <c r="F24">
        <v>-40</v>
      </c>
      <c r="G24">
        <v>1.998</v>
      </c>
      <c r="H24" t="s">
        <v>62</v>
      </c>
      <c r="I24" t="s">
        <v>533</v>
      </c>
      <c r="J24" t="s">
        <v>533</v>
      </c>
      <c r="K24" t="s">
        <v>533</v>
      </c>
    </row>
    <row r="25" spans="5:11">
      <c r="E25">
        <v>4.5</v>
      </c>
      <c r="F25">
        <v>-40</v>
      </c>
      <c r="G25">
        <v>1.998</v>
      </c>
      <c r="H25" t="s">
        <v>62</v>
      </c>
      <c r="I25" t="s">
        <v>533</v>
      </c>
      <c r="J25" t="s">
        <v>533</v>
      </c>
      <c r="K25" t="s">
        <v>533</v>
      </c>
    </row>
    <row r="26" spans="5:11">
      <c r="E26">
        <v>5.5</v>
      </c>
      <c r="F26">
        <v>-40</v>
      </c>
      <c r="G26">
        <v>1.998</v>
      </c>
      <c r="H26" t="s">
        <v>62</v>
      </c>
      <c r="I26" t="s">
        <v>533</v>
      </c>
      <c r="J26" t="s">
        <v>533</v>
      </c>
      <c r="K26" t="s">
        <v>533</v>
      </c>
    </row>
    <row r="27" spans="5:11">
      <c r="E27">
        <v>5</v>
      </c>
      <c r="F27">
        <v>150</v>
      </c>
      <c r="G27">
        <v>1.998</v>
      </c>
      <c r="H27" t="s">
        <v>62</v>
      </c>
      <c r="I27" t="s">
        <v>533</v>
      </c>
      <c r="J27" t="s">
        <v>533</v>
      </c>
      <c r="K27" t="s">
        <v>533</v>
      </c>
    </row>
    <row r="28" spans="5:11">
      <c r="E28">
        <v>4.5</v>
      </c>
      <c r="F28">
        <v>150</v>
      </c>
      <c r="G28">
        <v>1.998</v>
      </c>
      <c r="H28" t="s">
        <v>62</v>
      </c>
      <c r="I28" t="s">
        <v>533</v>
      </c>
      <c r="J28" t="s">
        <v>533</v>
      </c>
      <c r="K28" t="s">
        <v>533</v>
      </c>
    </row>
    <row r="29" spans="5:11">
      <c r="E29">
        <v>5.5</v>
      </c>
      <c r="F29">
        <v>150</v>
      </c>
      <c r="G29">
        <v>1.998</v>
      </c>
      <c r="H29" t="s">
        <v>62</v>
      </c>
      <c r="I29" t="s">
        <v>533</v>
      </c>
      <c r="J29" t="s">
        <v>533</v>
      </c>
      <c r="K29" t="s">
        <v>533</v>
      </c>
    </row>
    <row r="30" spans="5:11">
      <c r="E30">
        <v>5</v>
      </c>
      <c r="F30">
        <v>25</v>
      </c>
      <c r="G30">
        <v>2.0019999999999998</v>
      </c>
      <c r="H30" t="s">
        <v>62</v>
      </c>
      <c r="I30" t="s">
        <v>533</v>
      </c>
      <c r="J30" t="s">
        <v>533</v>
      </c>
      <c r="K30" t="s">
        <v>533</v>
      </c>
    </row>
    <row r="31" spans="5:11">
      <c r="E31">
        <v>4.5</v>
      </c>
      <c r="F31">
        <v>25</v>
      </c>
      <c r="G31">
        <v>2.0019999999999998</v>
      </c>
      <c r="H31" t="s">
        <v>62</v>
      </c>
      <c r="I31" t="s">
        <v>533</v>
      </c>
      <c r="J31" t="s">
        <v>533</v>
      </c>
      <c r="K31" t="s">
        <v>533</v>
      </c>
    </row>
    <row r="32" spans="5:11">
      <c r="E32">
        <v>5.5</v>
      </c>
      <c r="F32">
        <v>25</v>
      </c>
      <c r="G32">
        <v>2.0019999999999998</v>
      </c>
      <c r="H32" t="s">
        <v>62</v>
      </c>
      <c r="I32" t="s">
        <v>533</v>
      </c>
      <c r="J32" t="s">
        <v>533</v>
      </c>
      <c r="K32" t="s">
        <v>533</v>
      </c>
    </row>
    <row r="33" spans="5:11">
      <c r="E33">
        <v>5</v>
      </c>
      <c r="F33">
        <v>-40</v>
      </c>
      <c r="G33">
        <v>2.0019999999999998</v>
      </c>
      <c r="H33" t="s">
        <v>62</v>
      </c>
      <c r="I33" t="s">
        <v>533</v>
      </c>
      <c r="J33" t="s">
        <v>533</v>
      </c>
      <c r="K33" t="s">
        <v>533</v>
      </c>
    </row>
    <row r="34" spans="5:11">
      <c r="E34">
        <v>4.5</v>
      </c>
      <c r="F34">
        <v>-40</v>
      </c>
      <c r="G34">
        <v>2.0019999999999998</v>
      </c>
      <c r="H34" t="s">
        <v>62</v>
      </c>
      <c r="I34" t="s">
        <v>533</v>
      </c>
      <c r="J34" t="s">
        <v>533</v>
      </c>
      <c r="K34" t="s">
        <v>533</v>
      </c>
    </row>
    <row r="35" spans="5:11">
      <c r="E35">
        <v>5.5</v>
      </c>
      <c r="F35">
        <v>-40</v>
      </c>
      <c r="G35">
        <v>2.0019999999999998</v>
      </c>
      <c r="H35" t="s">
        <v>62</v>
      </c>
      <c r="I35" t="s">
        <v>533</v>
      </c>
      <c r="J35" t="s">
        <v>533</v>
      </c>
      <c r="K35" t="s">
        <v>533</v>
      </c>
    </row>
    <row r="36" spans="5:11">
      <c r="E36">
        <v>5</v>
      </c>
      <c r="F36">
        <v>150</v>
      </c>
      <c r="G36">
        <v>2.0019999999999998</v>
      </c>
      <c r="H36" t="s">
        <v>62</v>
      </c>
      <c r="I36" t="s">
        <v>533</v>
      </c>
      <c r="J36" t="s">
        <v>533</v>
      </c>
      <c r="K36" t="s">
        <v>533</v>
      </c>
    </row>
    <row r="37" spans="5:11">
      <c r="E37">
        <v>4.5</v>
      </c>
      <c r="F37">
        <v>150</v>
      </c>
      <c r="G37">
        <v>2.0019999999999998</v>
      </c>
      <c r="H37" t="s">
        <v>62</v>
      </c>
      <c r="I37" t="s">
        <v>533</v>
      </c>
      <c r="J37" t="s">
        <v>533</v>
      </c>
      <c r="K37" t="s">
        <v>533</v>
      </c>
    </row>
    <row r="38" spans="5:11">
      <c r="E38">
        <v>5.5</v>
      </c>
      <c r="F38">
        <v>150</v>
      </c>
      <c r="G38">
        <v>2.0019999999999998</v>
      </c>
      <c r="H38" t="s">
        <v>62</v>
      </c>
      <c r="I38" t="s">
        <v>533</v>
      </c>
      <c r="J38" t="s">
        <v>533</v>
      </c>
      <c r="K38" t="s">
        <v>533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ZZ230"/>
  <sheetViews>
    <sheetView zoomScale="55" zoomScaleNormal="55" workbookViewId="0">
      <selection activeCell="V25" sqref="V25"/>
    </sheetView>
  </sheetViews>
  <sheetFormatPr defaultRowHeight="13"/>
  <cols>
    <col min="15" max="16384" width="8.7265625" style="46"/>
  </cols>
  <sheetData>
    <row r="1" spans="1:702" customFormat="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702" customFormat="1">
      <c r="O2" s="46"/>
      <c r="P2" s="46"/>
      <c r="Q2" s="46"/>
      <c r="R2" s="46"/>
      <c r="S2" s="46"/>
      <c r="T2" s="46"/>
      <c r="U2" s="46"/>
      <c r="V2" s="46"/>
      <c r="W2" s="46"/>
      <c r="X2" s="46"/>
      <c r="Y2" s="46">
        <v>0</v>
      </c>
      <c r="Z2" s="46" t="s">
        <v>638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  <c r="IS2" s="46"/>
      <c r="IT2" s="46"/>
      <c r="IU2" s="46"/>
      <c r="IV2" s="46"/>
      <c r="IW2" s="46"/>
      <c r="IX2" s="46"/>
      <c r="IY2" s="46"/>
      <c r="IZ2" s="46"/>
      <c r="JA2" s="46"/>
      <c r="JB2" s="46"/>
      <c r="JC2" s="46"/>
      <c r="JD2" s="46"/>
      <c r="JE2" s="46"/>
      <c r="JF2" s="46"/>
      <c r="JG2" s="46"/>
      <c r="JH2" s="46"/>
      <c r="JI2" s="46"/>
      <c r="JJ2" s="46"/>
      <c r="JK2" s="46"/>
      <c r="JL2" s="46"/>
      <c r="JM2" s="46"/>
      <c r="JN2" s="46"/>
      <c r="JO2" s="46"/>
      <c r="JP2" s="46"/>
      <c r="JQ2" s="46"/>
      <c r="JR2" s="46"/>
      <c r="JS2" s="46"/>
      <c r="JT2" s="46"/>
      <c r="JU2" s="46"/>
      <c r="JV2" s="46"/>
      <c r="JW2" s="46"/>
      <c r="JX2" s="46"/>
      <c r="JY2" s="46"/>
      <c r="JZ2" s="46"/>
      <c r="KA2" s="46"/>
      <c r="KB2" s="46"/>
      <c r="KC2" s="46"/>
      <c r="KD2" s="46"/>
      <c r="KE2" s="46"/>
      <c r="KF2" s="46"/>
      <c r="KG2" s="46"/>
      <c r="KH2" s="46"/>
      <c r="KI2" s="46"/>
      <c r="KJ2" s="46"/>
      <c r="KK2" s="46"/>
      <c r="KL2" s="46"/>
      <c r="KM2" s="46"/>
      <c r="KN2" s="46"/>
      <c r="KO2" s="46"/>
      <c r="KP2" s="46"/>
      <c r="KQ2" s="46"/>
      <c r="KR2" s="46"/>
      <c r="KS2" s="46"/>
      <c r="KT2" s="46"/>
      <c r="KU2" s="46"/>
      <c r="KV2" s="46"/>
      <c r="KW2" s="46"/>
      <c r="KX2" s="46"/>
      <c r="KY2" s="46"/>
      <c r="KZ2" s="46"/>
      <c r="LA2" s="46"/>
      <c r="LB2" s="46"/>
      <c r="LC2" s="46"/>
      <c r="LD2" s="46"/>
      <c r="LE2" s="46"/>
      <c r="LF2" s="46"/>
      <c r="LG2" s="46"/>
      <c r="LH2" s="46"/>
      <c r="LI2" s="46"/>
      <c r="LJ2" s="46"/>
      <c r="LK2" s="46"/>
      <c r="LL2" s="46"/>
      <c r="LM2" s="46"/>
      <c r="LN2" s="46"/>
      <c r="LO2" s="46"/>
      <c r="LP2" s="46"/>
      <c r="LQ2" s="46"/>
      <c r="LR2" s="46"/>
      <c r="LS2" s="46"/>
      <c r="LT2" s="46"/>
      <c r="LU2" s="46"/>
      <c r="LV2" s="46"/>
      <c r="LW2" s="46"/>
      <c r="LX2" s="46"/>
      <c r="LY2" s="46"/>
      <c r="LZ2" s="46"/>
      <c r="MA2" s="46"/>
      <c r="MB2" s="46"/>
      <c r="MC2" s="46"/>
      <c r="MD2" s="46"/>
      <c r="ME2" s="46"/>
      <c r="MF2" s="46"/>
      <c r="MG2" s="46"/>
      <c r="MH2" s="46"/>
      <c r="MI2" s="46"/>
      <c r="MJ2" s="46"/>
      <c r="MK2" s="46"/>
      <c r="ML2" s="46"/>
      <c r="MM2" s="46"/>
      <c r="MN2" s="46"/>
      <c r="MO2" s="46"/>
      <c r="MP2" s="46"/>
      <c r="MQ2" s="46"/>
      <c r="MR2" s="46"/>
      <c r="MS2" s="46"/>
      <c r="MT2" s="46"/>
      <c r="MU2" s="46"/>
      <c r="MV2" s="46"/>
      <c r="MW2" s="46"/>
      <c r="MX2" s="46"/>
      <c r="MY2" s="46"/>
      <c r="MZ2" s="46"/>
      <c r="NA2" s="46"/>
      <c r="NB2" s="46"/>
      <c r="NC2" s="46"/>
      <c r="ND2" s="46"/>
      <c r="NE2" s="46"/>
      <c r="NF2" s="46"/>
      <c r="NG2" s="46"/>
      <c r="NH2" s="46"/>
      <c r="NI2" s="46"/>
      <c r="NJ2" s="46"/>
      <c r="NK2" s="46"/>
      <c r="NL2" s="46"/>
      <c r="NM2" s="46"/>
      <c r="NN2" s="46"/>
      <c r="NO2" s="46"/>
      <c r="NP2" s="46"/>
      <c r="NQ2" s="46"/>
      <c r="NR2" s="46"/>
      <c r="NS2" s="46"/>
      <c r="NT2" s="46"/>
      <c r="NU2" s="46"/>
      <c r="NV2" s="46"/>
      <c r="NW2" s="46"/>
      <c r="NX2" s="46"/>
      <c r="NY2" s="46"/>
      <c r="NZ2" s="46"/>
      <c r="OA2" s="46"/>
      <c r="OB2" s="46"/>
      <c r="OC2" s="46"/>
      <c r="OD2" s="46"/>
      <c r="OE2" s="46"/>
      <c r="OF2" s="46"/>
      <c r="OG2" s="46"/>
      <c r="OH2" s="46"/>
      <c r="OI2" s="46"/>
      <c r="OJ2" s="46"/>
      <c r="OK2" s="46"/>
      <c r="OL2" s="46"/>
      <c r="OM2" s="46"/>
      <c r="ON2" s="46"/>
      <c r="OO2" s="46"/>
      <c r="OP2" s="46"/>
      <c r="OQ2" s="46"/>
      <c r="OR2" s="46"/>
      <c r="OS2" s="46"/>
      <c r="OT2" s="46"/>
      <c r="OU2" s="46"/>
      <c r="OV2" s="46"/>
      <c r="OW2" s="46"/>
      <c r="OX2" s="46"/>
      <c r="OY2" s="46"/>
      <c r="OZ2" s="46"/>
      <c r="PA2" s="46"/>
      <c r="PB2" s="46"/>
      <c r="PC2" s="46"/>
      <c r="PD2" s="46"/>
      <c r="PE2" s="46"/>
      <c r="PF2" s="46"/>
      <c r="PG2" s="46"/>
      <c r="PH2" s="46"/>
      <c r="PI2" s="46"/>
      <c r="PJ2" s="46"/>
      <c r="PK2" s="46"/>
      <c r="PL2" s="46"/>
      <c r="PM2" s="46"/>
      <c r="PN2" s="46"/>
      <c r="PO2" s="46"/>
      <c r="PP2" s="46"/>
      <c r="PQ2" s="46"/>
      <c r="PR2" s="46"/>
      <c r="PS2" s="46"/>
      <c r="PT2" s="46"/>
      <c r="PU2" s="46"/>
      <c r="PV2" s="46"/>
      <c r="PW2" s="46"/>
      <c r="PX2" s="46"/>
      <c r="PY2" s="46"/>
      <c r="PZ2" s="46"/>
      <c r="QA2" s="46"/>
      <c r="QB2" s="46"/>
      <c r="QC2" s="46"/>
      <c r="QD2" s="46"/>
      <c r="QE2" s="46"/>
      <c r="QF2" s="46"/>
      <c r="QG2" s="46"/>
      <c r="QH2" s="46"/>
      <c r="QI2" s="46"/>
      <c r="QJ2" s="46"/>
      <c r="QK2" s="46"/>
      <c r="QL2" s="46"/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  <c r="RT2" s="46"/>
      <c r="RU2" s="46"/>
      <c r="RV2" s="46"/>
      <c r="RW2" s="46"/>
      <c r="RX2" s="46"/>
      <c r="RY2" s="46"/>
      <c r="RZ2" s="46"/>
      <c r="SA2" s="46"/>
      <c r="SB2" s="46"/>
      <c r="SC2" s="46"/>
      <c r="SD2" s="46"/>
      <c r="SE2" s="46"/>
      <c r="SF2" s="46"/>
      <c r="SG2" s="46"/>
      <c r="SH2" s="46"/>
      <c r="SI2" s="46"/>
      <c r="SJ2" s="46"/>
      <c r="SK2" s="46"/>
      <c r="SL2" s="46"/>
      <c r="SM2" s="46"/>
      <c r="SN2" s="46"/>
      <c r="SO2" s="46"/>
      <c r="SP2" s="46"/>
      <c r="SQ2" s="46"/>
      <c r="SR2" s="46"/>
      <c r="SS2" s="46"/>
      <c r="ST2" s="46"/>
      <c r="SU2" s="46"/>
      <c r="SV2" s="46"/>
      <c r="SW2" s="46"/>
      <c r="SX2" s="46"/>
      <c r="SY2" s="46"/>
      <c r="SZ2" s="46"/>
      <c r="TA2" s="46"/>
      <c r="TB2" s="46"/>
      <c r="TC2" s="46"/>
      <c r="TD2" s="46"/>
      <c r="TE2" s="46"/>
      <c r="TF2" s="46"/>
      <c r="TG2" s="46"/>
      <c r="TH2" s="46"/>
      <c r="TI2" s="46"/>
      <c r="TJ2" s="46"/>
      <c r="TK2" s="46"/>
      <c r="TL2" s="46"/>
      <c r="TM2" s="46"/>
      <c r="TN2" s="46"/>
      <c r="TO2" s="46"/>
      <c r="TP2" s="46"/>
      <c r="TQ2" s="46"/>
      <c r="TR2" s="46"/>
      <c r="TS2" s="46"/>
      <c r="TT2" s="46"/>
      <c r="TU2" s="46"/>
      <c r="TV2" s="46"/>
      <c r="TW2" s="46"/>
      <c r="TX2" s="46"/>
      <c r="TY2" s="46"/>
      <c r="TZ2" s="46"/>
      <c r="UA2" s="46"/>
      <c r="UB2" s="46"/>
      <c r="UC2" s="46"/>
      <c r="UD2" s="46"/>
      <c r="UE2" s="46"/>
      <c r="UF2" s="46"/>
      <c r="UG2" s="46"/>
      <c r="UH2" s="46"/>
      <c r="UI2" s="46"/>
      <c r="UJ2" s="46"/>
      <c r="UK2" s="46"/>
      <c r="UL2" s="46"/>
      <c r="UM2" s="46"/>
      <c r="UN2" s="46"/>
      <c r="UO2" s="46"/>
      <c r="UP2" s="46"/>
      <c r="UQ2" s="46"/>
      <c r="UR2" s="46"/>
      <c r="US2" s="46"/>
      <c r="UT2" s="46"/>
      <c r="UU2" s="46"/>
      <c r="UV2" s="46"/>
      <c r="UW2" s="46"/>
      <c r="UX2" s="46"/>
      <c r="UY2" s="46"/>
      <c r="UZ2" s="46"/>
      <c r="VA2" s="46"/>
      <c r="VB2" s="46"/>
      <c r="VC2" s="46"/>
      <c r="VD2" s="46"/>
      <c r="VE2" s="46"/>
      <c r="VF2" s="46"/>
      <c r="VG2" s="46"/>
      <c r="VH2" s="46"/>
      <c r="VI2" s="46"/>
      <c r="VJ2" s="46"/>
      <c r="VK2" s="46"/>
      <c r="VL2" s="46"/>
      <c r="VM2" s="46"/>
      <c r="VN2" s="46"/>
      <c r="VO2" s="46"/>
      <c r="VP2" s="46"/>
      <c r="VQ2" s="46"/>
      <c r="VR2" s="46"/>
      <c r="VS2" s="46"/>
      <c r="VT2" s="46"/>
      <c r="VU2" s="46"/>
      <c r="VV2" s="46"/>
      <c r="VW2" s="46"/>
      <c r="VX2" s="46"/>
      <c r="VY2" s="46"/>
      <c r="VZ2" s="46"/>
      <c r="WA2" s="46"/>
      <c r="WB2" s="46"/>
      <c r="WC2" s="46"/>
      <c r="WD2" s="46"/>
      <c r="WE2" s="46"/>
      <c r="WF2" s="46"/>
      <c r="WG2" s="46"/>
      <c r="WH2" s="46"/>
      <c r="WI2" s="46"/>
      <c r="WJ2" s="46"/>
      <c r="WK2" s="46"/>
      <c r="WL2" s="46"/>
      <c r="WM2" s="46"/>
      <c r="WN2" s="46"/>
      <c r="WO2" s="46"/>
      <c r="WP2" s="46"/>
      <c r="WQ2" s="46"/>
      <c r="WR2" s="46"/>
      <c r="WS2" s="46"/>
      <c r="WT2" s="46"/>
      <c r="WU2" s="46"/>
      <c r="WV2" s="46"/>
      <c r="WW2" s="46"/>
      <c r="WX2" s="46"/>
      <c r="WY2" s="46"/>
      <c r="WZ2" s="46"/>
      <c r="XA2" s="46"/>
      <c r="XB2" s="46"/>
      <c r="XC2" s="46"/>
      <c r="XD2" s="46"/>
      <c r="XE2" s="46"/>
      <c r="XF2" s="46"/>
      <c r="XG2" s="46"/>
      <c r="XH2" s="46"/>
      <c r="XI2" s="46"/>
      <c r="XJ2" s="46"/>
      <c r="XK2" s="46"/>
      <c r="XL2" s="46"/>
      <c r="XM2" s="46"/>
      <c r="XN2" s="46"/>
      <c r="XO2" s="46"/>
      <c r="XP2" s="46"/>
      <c r="XQ2" s="46"/>
      <c r="XR2" s="46"/>
      <c r="XS2" s="46"/>
      <c r="XT2" s="46"/>
      <c r="XU2" s="46"/>
      <c r="XV2" s="46"/>
      <c r="XW2" s="46"/>
      <c r="XX2" s="46"/>
      <c r="XY2" s="46"/>
      <c r="XZ2" s="46"/>
      <c r="YA2" s="46"/>
      <c r="YB2" s="46"/>
      <c r="YC2" s="46"/>
      <c r="YD2" s="46"/>
      <c r="YE2" s="46"/>
      <c r="YF2" s="46"/>
      <c r="YG2" s="46"/>
      <c r="YH2" s="46"/>
      <c r="YI2" s="46"/>
      <c r="YJ2" s="46"/>
      <c r="YK2" s="46"/>
      <c r="YL2" s="46"/>
      <c r="YM2" s="46"/>
      <c r="YN2" s="46"/>
      <c r="YO2" s="46"/>
      <c r="YP2" s="46"/>
      <c r="YQ2" s="46"/>
      <c r="YR2" s="46"/>
      <c r="YS2" s="46"/>
      <c r="YT2" s="46"/>
      <c r="YU2" s="46"/>
      <c r="YV2" s="46"/>
      <c r="YW2" s="46"/>
      <c r="YX2" s="46"/>
      <c r="YY2" s="46"/>
      <c r="YZ2" s="46"/>
      <c r="ZA2" s="46"/>
      <c r="ZB2" s="46"/>
      <c r="ZC2" s="46"/>
      <c r="ZD2" s="46"/>
      <c r="ZE2" s="46"/>
      <c r="ZF2" s="46"/>
      <c r="ZG2" s="46"/>
      <c r="ZH2" s="46"/>
      <c r="ZI2" s="46"/>
      <c r="ZJ2" s="46"/>
      <c r="ZK2" s="46"/>
      <c r="ZL2" s="46"/>
      <c r="ZM2" s="46"/>
      <c r="ZN2" s="46"/>
      <c r="ZO2" s="46"/>
      <c r="ZP2" s="46"/>
      <c r="ZQ2" s="46"/>
      <c r="ZR2" s="46"/>
      <c r="ZS2" s="46"/>
      <c r="ZT2" s="46"/>
      <c r="ZU2" s="46"/>
      <c r="ZV2" s="46"/>
      <c r="ZW2" s="46"/>
      <c r="ZX2" s="46"/>
      <c r="ZY2" s="46"/>
      <c r="ZZ2" s="46"/>
    </row>
    <row r="3" spans="1:702" customFormat="1">
      <c r="D3">
        <v>0</v>
      </c>
      <c r="E3" t="s">
        <v>66</v>
      </c>
      <c r="F3">
        <v>5</v>
      </c>
      <c r="G3">
        <v>4.5</v>
      </c>
      <c r="H3">
        <v>5.5</v>
      </c>
      <c r="O3">
        <v>0</v>
      </c>
      <c r="P3" t="s">
        <v>66</v>
      </c>
      <c r="Q3">
        <v>4.5</v>
      </c>
      <c r="R3">
        <v>5.5</v>
      </c>
      <c r="V3" t="s">
        <v>412</v>
      </c>
      <c r="W3">
        <v>0</v>
      </c>
      <c r="X3" s="46"/>
      <c r="Y3" s="46">
        <v>1</v>
      </c>
      <c r="Z3" s="46" t="s">
        <v>633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6"/>
      <c r="GC3" s="46"/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6"/>
      <c r="HH3" s="46"/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6"/>
      <c r="IM3" s="46"/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6"/>
      <c r="JQ3" s="46"/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6"/>
      <c r="KV3" s="46"/>
      <c r="KW3" s="46"/>
      <c r="KX3" s="46"/>
      <c r="KY3" s="46"/>
      <c r="KZ3" s="46"/>
      <c r="LA3" s="46"/>
      <c r="LB3" s="46"/>
      <c r="LC3" s="46"/>
      <c r="LD3" s="46"/>
      <c r="LE3" s="46"/>
      <c r="LF3" s="46"/>
      <c r="LG3" s="46"/>
      <c r="LH3" s="46"/>
      <c r="LI3" s="46"/>
      <c r="LJ3" s="46"/>
      <c r="LK3" s="46"/>
      <c r="LL3" s="46"/>
      <c r="LM3" s="46"/>
      <c r="LN3" s="46"/>
      <c r="LO3" s="46"/>
      <c r="LP3" s="46"/>
      <c r="LQ3" s="46"/>
      <c r="LR3" s="46"/>
      <c r="LS3" s="46"/>
      <c r="LT3" s="46"/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  <c r="RT3" s="46"/>
      <c r="RU3" s="46"/>
      <c r="RV3" s="46"/>
      <c r="RW3" s="46"/>
      <c r="RX3" s="46"/>
      <c r="RY3" s="46"/>
      <c r="RZ3" s="46"/>
      <c r="SA3" s="46"/>
      <c r="SB3" s="46"/>
      <c r="SC3" s="46"/>
      <c r="SD3" s="46"/>
      <c r="SE3" s="46"/>
      <c r="SF3" s="46"/>
      <c r="SG3" s="46"/>
      <c r="SH3" s="46"/>
      <c r="SI3" s="46"/>
      <c r="SJ3" s="46"/>
      <c r="SK3" s="46"/>
      <c r="SL3" s="46"/>
      <c r="SM3" s="46"/>
      <c r="SN3" s="46"/>
      <c r="SO3" s="46"/>
      <c r="SP3" s="46"/>
      <c r="SQ3" s="46"/>
      <c r="SR3" s="46"/>
      <c r="SS3" s="46"/>
      <c r="ST3" s="46"/>
      <c r="SU3" s="46"/>
      <c r="SV3" s="46"/>
      <c r="SW3" s="46"/>
      <c r="SX3" s="46"/>
      <c r="SY3" s="46"/>
      <c r="SZ3" s="46"/>
      <c r="TA3" s="46"/>
      <c r="TB3" s="46"/>
      <c r="TC3" s="46"/>
      <c r="TD3" s="46"/>
      <c r="TE3" s="46"/>
      <c r="TF3" s="46"/>
      <c r="TG3" s="46"/>
      <c r="TH3" s="46"/>
      <c r="TI3" s="46"/>
      <c r="TJ3" s="46"/>
      <c r="TK3" s="46"/>
      <c r="TL3" s="46"/>
      <c r="TM3" s="46"/>
      <c r="TN3" s="46"/>
      <c r="TO3" s="46"/>
      <c r="TP3" s="46"/>
      <c r="TQ3" s="46"/>
      <c r="TR3" s="46"/>
      <c r="TS3" s="46"/>
      <c r="TT3" s="46"/>
      <c r="TU3" s="46"/>
      <c r="TV3" s="46"/>
      <c r="TW3" s="46"/>
      <c r="TX3" s="46"/>
      <c r="TY3" s="46"/>
      <c r="TZ3" s="46"/>
      <c r="UA3" s="46"/>
      <c r="UB3" s="46"/>
      <c r="UC3" s="46"/>
      <c r="UD3" s="46"/>
      <c r="UE3" s="46"/>
      <c r="UF3" s="46"/>
      <c r="UG3" s="46"/>
      <c r="UH3" s="46"/>
      <c r="UI3" s="46"/>
      <c r="UJ3" s="46"/>
      <c r="UK3" s="46"/>
      <c r="UL3" s="46"/>
      <c r="UM3" s="46"/>
      <c r="UN3" s="46"/>
      <c r="UO3" s="46"/>
      <c r="UP3" s="46"/>
      <c r="UQ3" s="46"/>
      <c r="UR3" s="46"/>
      <c r="US3" s="46"/>
      <c r="UT3" s="46"/>
      <c r="UU3" s="46"/>
      <c r="UV3" s="46"/>
      <c r="UW3" s="46"/>
      <c r="UX3" s="46"/>
      <c r="UY3" s="46"/>
      <c r="UZ3" s="46"/>
      <c r="VA3" s="46"/>
      <c r="VB3" s="46"/>
      <c r="VC3" s="46"/>
      <c r="VD3" s="46"/>
      <c r="VE3" s="46"/>
      <c r="VF3" s="46"/>
      <c r="VG3" s="46"/>
      <c r="VH3" s="46"/>
      <c r="VI3" s="46"/>
      <c r="VJ3" s="46"/>
      <c r="VK3" s="46"/>
      <c r="VL3" s="46"/>
      <c r="VM3" s="46"/>
      <c r="VN3" s="46"/>
      <c r="VO3" s="46"/>
      <c r="VP3" s="46"/>
      <c r="VQ3" s="46"/>
      <c r="VR3" s="46"/>
      <c r="VS3" s="46"/>
      <c r="VT3" s="46"/>
      <c r="VU3" s="46"/>
      <c r="VV3" s="46"/>
      <c r="VW3" s="46"/>
      <c r="VX3" s="46"/>
      <c r="VY3" s="46"/>
      <c r="VZ3" s="46"/>
      <c r="WA3" s="46"/>
      <c r="WB3" s="46"/>
      <c r="WC3" s="46"/>
      <c r="WD3" s="46"/>
      <c r="WE3" s="46"/>
      <c r="WF3" s="46"/>
      <c r="WG3" s="46"/>
      <c r="WH3" s="46"/>
      <c r="WI3" s="46"/>
      <c r="WJ3" s="46"/>
      <c r="WK3" s="46"/>
      <c r="WL3" s="46"/>
      <c r="WM3" s="46"/>
      <c r="WN3" s="46"/>
      <c r="WO3" s="46"/>
      <c r="WP3" s="46"/>
      <c r="WQ3" s="46"/>
      <c r="WR3" s="46"/>
      <c r="WS3" s="46"/>
      <c r="WT3" s="46"/>
      <c r="WU3" s="46"/>
      <c r="WV3" s="46"/>
      <c r="WW3" s="46"/>
      <c r="WX3" s="46"/>
      <c r="WY3" s="46"/>
      <c r="WZ3" s="46"/>
      <c r="XA3" s="46"/>
      <c r="XB3" s="46"/>
      <c r="XC3" s="46"/>
      <c r="XD3" s="46"/>
      <c r="XE3" s="46"/>
      <c r="XF3" s="46"/>
      <c r="XG3" s="46"/>
      <c r="XH3" s="46"/>
      <c r="XI3" s="46"/>
      <c r="XJ3" s="46"/>
      <c r="XK3" s="46"/>
      <c r="XL3" s="46"/>
      <c r="XM3" s="46"/>
      <c r="XN3" s="46"/>
      <c r="XO3" s="46"/>
      <c r="XP3" s="46"/>
      <c r="XQ3" s="46"/>
      <c r="XR3" s="46"/>
      <c r="XS3" s="46"/>
      <c r="XT3" s="46"/>
      <c r="XU3" s="46"/>
      <c r="XV3" s="46"/>
      <c r="XW3" s="46"/>
      <c r="XX3" s="46"/>
      <c r="XY3" s="46"/>
      <c r="XZ3" s="46"/>
      <c r="YA3" s="46"/>
      <c r="YB3" s="46"/>
      <c r="YC3" s="46"/>
      <c r="YD3" s="46"/>
      <c r="YE3" s="46"/>
      <c r="YF3" s="46"/>
      <c r="YG3" s="46"/>
      <c r="YH3" s="46"/>
      <c r="YI3" s="46"/>
      <c r="YJ3" s="46"/>
      <c r="YK3" s="46"/>
      <c r="YL3" s="46"/>
      <c r="YM3" s="46"/>
      <c r="YN3" s="46"/>
      <c r="YO3" s="46"/>
      <c r="YP3" s="46"/>
      <c r="YQ3" s="46"/>
      <c r="YR3" s="46"/>
      <c r="YS3" s="46"/>
      <c r="YT3" s="46"/>
      <c r="YU3" s="46"/>
      <c r="YV3" s="46"/>
      <c r="YW3" s="46"/>
      <c r="YX3" s="46"/>
      <c r="YY3" s="46"/>
      <c r="YZ3" s="46"/>
      <c r="ZA3" s="46"/>
      <c r="ZB3" s="46"/>
      <c r="ZC3" s="46"/>
      <c r="ZD3" s="46"/>
      <c r="ZE3" s="46"/>
      <c r="ZF3" s="46"/>
      <c r="ZG3" s="46"/>
      <c r="ZH3" s="46"/>
      <c r="ZI3" s="46"/>
      <c r="ZJ3" s="46"/>
      <c r="ZK3" s="46"/>
      <c r="ZL3" s="46"/>
      <c r="ZM3" s="46"/>
      <c r="ZN3" s="46"/>
      <c r="ZO3" s="46"/>
      <c r="ZP3" s="46"/>
      <c r="ZQ3" s="46"/>
      <c r="ZR3" s="46"/>
      <c r="ZS3" s="46"/>
      <c r="ZT3" s="46"/>
      <c r="ZU3" s="46"/>
      <c r="ZV3" s="46"/>
      <c r="ZW3" s="46"/>
      <c r="ZX3" s="46"/>
      <c r="ZY3" s="46"/>
      <c r="ZZ3" s="46"/>
    </row>
    <row r="4" spans="1:702" customFormat="1">
      <c r="D4">
        <v>1</v>
      </c>
      <c r="E4" t="s">
        <v>67</v>
      </c>
      <c r="F4">
        <v>25</v>
      </c>
      <c r="G4">
        <v>-40</v>
      </c>
      <c r="H4">
        <v>150</v>
      </c>
      <c r="O4">
        <v>1</v>
      </c>
      <c r="P4" t="s">
        <v>251</v>
      </c>
      <c r="Q4">
        <v>-40</v>
      </c>
      <c r="R4">
        <v>150</v>
      </c>
      <c r="V4" t="s">
        <v>528</v>
      </c>
      <c r="W4">
        <v>5</v>
      </c>
      <c r="X4" s="46"/>
      <c r="Y4" s="46">
        <v>2</v>
      </c>
      <c r="Z4" s="46" t="s">
        <v>632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46"/>
      <c r="HT4" s="46"/>
      <c r="HU4" s="46"/>
      <c r="HV4" s="46"/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46"/>
      <c r="IS4" s="46"/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46"/>
      <c r="KI4" s="46"/>
      <c r="KJ4" s="46"/>
      <c r="KK4" s="46"/>
      <c r="KL4" s="46"/>
      <c r="KM4" s="46"/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  <c r="QV4" s="46"/>
      <c r="QW4" s="46"/>
      <c r="QX4" s="46"/>
      <c r="QY4" s="46"/>
      <c r="QZ4" s="46"/>
      <c r="RA4" s="46"/>
      <c r="RB4" s="46"/>
      <c r="RC4" s="46"/>
      <c r="RD4" s="46"/>
      <c r="RE4" s="46"/>
      <c r="RF4" s="46"/>
      <c r="RG4" s="46"/>
      <c r="RH4" s="46"/>
      <c r="RI4" s="46"/>
      <c r="RJ4" s="46"/>
      <c r="RK4" s="46"/>
      <c r="RL4" s="46"/>
      <c r="RM4" s="46"/>
      <c r="RN4" s="46"/>
      <c r="RO4" s="46"/>
      <c r="RP4" s="46"/>
      <c r="RQ4" s="46"/>
      <c r="RR4" s="46"/>
      <c r="RS4" s="46"/>
      <c r="RT4" s="46"/>
      <c r="RU4" s="46"/>
      <c r="RV4" s="46"/>
      <c r="RW4" s="46"/>
      <c r="RX4" s="46"/>
      <c r="RY4" s="46"/>
      <c r="RZ4" s="46"/>
      <c r="SA4" s="46"/>
      <c r="SB4" s="46"/>
      <c r="SC4" s="46"/>
      <c r="SD4" s="46"/>
      <c r="SE4" s="46"/>
      <c r="SF4" s="46"/>
      <c r="SG4" s="46"/>
      <c r="SH4" s="46"/>
      <c r="SI4" s="46"/>
      <c r="SJ4" s="46"/>
      <c r="SK4" s="46"/>
      <c r="SL4" s="46"/>
      <c r="SM4" s="46"/>
      <c r="SN4" s="46"/>
      <c r="SO4" s="46"/>
      <c r="SP4" s="46"/>
      <c r="SQ4" s="46"/>
      <c r="SR4" s="46"/>
      <c r="SS4" s="46"/>
      <c r="ST4" s="46"/>
      <c r="SU4" s="46"/>
      <c r="SV4" s="46"/>
      <c r="SW4" s="46"/>
      <c r="SX4" s="46"/>
      <c r="SY4" s="46"/>
      <c r="SZ4" s="46"/>
      <c r="TA4" s="46"/>
      <c r="TB4" s="46"/>
      <c r="TC4" s="46"/>
      <c r="TD4" s="46"/>
      <c r="TE4" s="46"/>
      <c r="TF4" s="46"/>
      <c r="TG4" s="46"/>
      <c r="TH4" s="46"/>
      <c r="TI4" s="46"/>
      <c r="TJ4" s="46"/>
      <c r="TK4" s="46"/>
      <c r="TL4" s="46"/>
      <c r="TM4" s="46"/>
      <c r="TN4" s="46"/>
      <c r="TO4" s="46"/>
      <c r="TP4" s="46"/>
      <c r="TQ4" s="46"/>
      <c r="TR4" s="46"/>
      <c r="TS4" s="46"/>
      <c r="TT4" s="46"/>
      <c r="TU4" s="46"/>
      <c r="TV4" s="46"/>
      <c r="TW4" s="46"/>
      <c r="TX4" s="46"/>
      <c r="TY4" s="46"/>
      <c r="TZ4" s="46"/>
      <c r="UA4" s="46"/>
      <c r="UB4" s="46"/>
      <c r="UC4" s="46"/>
      <c r="UD4" s="46"/>
      <c r="UE4" s="46"/>
      <c r="UF4" s="46"/>
      <c r="UG4" s="46"/>
      <c r="UH4" s="46"/>
      <c r="UI4" s="46"/>
      <c r="UJ4" s="46"/>
      <c r="UK4" s="46"/>
      <c r="UL4" s="46"/>
      <c r="UM4" s="46"/>
      <c r="UN4" s="46"/>
      <c r="UO4" s="46"/>
      <c r="UP4" s="46"/>
      <c r="UQ4" s="46"/>
      <c r="UR4" s="46"/>
      <c r="US4" s="46"/>
      <c r="UT4" s="46"/>
      <c r="UU4" s="46"/>
      <c r="UV4" s="46"/>
      <c r="UW4" s="46"/>
      <c r="UX4" s="46"/>
      <c r="UY4" s="46"/>
      <c r="UZ4" s="46"/>
      <c r="VA4" s="46"/>
      <c r="VB4" s="46"/>
      <c r="VC4" s="46"/>
      <c r="VD4" s="46"/>
      <c r="VE4" s="46"/>
      <c r="VF4" s="46"/>
      <c r="VG4" s="46"/>
      <c r="VH4" s="46"/>
      <c r="VI4" s="46"/>
      <c r="VJ4" s="46"/>
      <c r="VK4" s="46"/>
      <c r="VL4" s="46"/>
      <c r="VM4" s="46"/>
      <c r="VN4" s="46"/>
      <c r="VO4" s="46"/>
      <c r="VP4" s="46"/>
      <c r="VQ4" s="46"/>
      <c r="VR4" s="46"/>
      <c r="VS4" s="46"/>
      <c r="VT4" s="46"/>
      <c r="VU4" s="46"/>
      <c r="VV4" s="46"/>
      <c r="VW4" s="46"/>
      <c r="VX4" s="46"/>
      <c r="VY4" s="46"/>
      <c r="VZ4" s="46"/>
      <c r="WA4" s="46"/>
      <c r="WB4" s="46"/>
      <c r="WC4" s="46"/>
      <c r="WD4" s="46"/>
      <c r="WE4" s="46"/>
      <c r="WF4" s="46"/>
      <c r="WG4" s="46"/>
      <c r="WH4" s="46"/>
      <c r="WI4" s="46"/>
      <c r="WJ4" s="46"/>
      <c r="WK4" s="46"/>
      <c r="WL4" s="46"/>
      <c r="WM4" s="46"/>
      <c r="WN4" s="46"/>
      <c r="WO4" s="46"/>
      <c r="WP4" s="46"/>
      <c r="WQ4" s="46"/>
      <c r="WR4" s="46"/>
      <c r="WS4" s="46"/>
      <c r="WT4" s="46"/>
      <c r="WU4" s="46"/>
      <c r="WV4" s="46"/>
      <c r="WW4" s="46"/>
      <c r="WX4" s="46"/>
      <c r="WY4" s="46"/>
      <c r="WZ4" s="46"/>
      <c r="XA4" s="46"/>
      <c r="XB4" s="46"/>
      <c r="XC4" s="46"/>
      <c r="XD4" s="46"/>
      <c r="XE4" s="46"/>
      <c r="XF4" s="46"/>
      <c r="XG4" s="46"/>
      <c r="XH4" s="46"/>
      <c r="XI4" s="46"/>
      <c r="XJ4" s="46"/>
      <c r="XK4" s="46"/>
      <c r="XL4" s="46"/>
      <c r="XM4" s="46"/>
      <c r="XN4" s="46"/>
      <c r="XO4" s="46"/>
      <c r="XP4" s="46"/>
      <c r="XQ4" s="46"/>
      <c r="XR4" s="46"/>
      <c r="XS4" s="46"/>
      <c r="XT4" s="46"/>
      <c r="XU4" s="46"/>
      <c r="XV4" s="46"/>
      <c r="XW4" s="46"/>
      <c r="XX4" s="46"/>
      <c r="XY4" s="46"/>
      <c r="XZ4" s="46"/>
      <c r="YA4" s="46"/>
      <c r="YB4" s="46"/>
      <c r="YC4" s="46"/>
      <c r="YD4" s="46"/>
      <c r="YE4" s="46"/>
      <c r="YF4" s="46"/>
      <c r="YG4" s="46"/>
      <c r="YH4" s="46"/>
      <c r="YI4" s="46"/>
      <c r="YJ4" s="46"/>
      <c r="YK4" s="46"/>
      <c r="YL4" s="46"/>
      <c r="YM4" s="46"/>
      <c r="YN4" s="46"/>
      <c r="YO4" s="46"/>
      <c r="YP4" s="46"/>
      <c r="YQ4" s="46"/>
      <c r="YR4" s="46"/>
      <c r="YS4" s="46"/>
      <c r="YT4" s="46"/>
      <c r="YU4" s="46"/>
      <c r="YV4" s="46"/>
      <c r="YW4" s="46"/>
      <c r="YX4" s="46"/>
      <c r="YY4" s="46"/>
      <c r="YZ4" s="46"/>
      <c r="ZA4" s="46"/>
      <c r="ZB4" s="46"/>
      <c r="ZC4" s="46"/>
      <c r="ZD4" s="46"/>
      <c r="ZE4" s="46"/>
      <c r="ZF4" s="46"/>
      <c r="ZG4" s="46"/>
      <c r="ZH4" s="46"/>
      <c r="ZI4" s="46"/>
      <c r="ZJ4" s="46"/>
      <c r="ZK4" s="46"/>
      <c r="ZL4" s="46"/>
      <c r="ZM4" s="46"/>
      <c r="ZN4" s="46"/>
      <c r="ZO4" s="46"/>
      <c r="ZP4" s="46"/>
      <c r="ZQ4" s="46"/>
      <c r="ZR4" s="46"/>
      <c r="ZS4" s="46"/>
      <c r="ZT4" s="46"/>
      <c r="ZU4" s="46"/>
      <c r="ZV4" s="46"/>
      <c r="ZW4" s="46"/>
      <c r="ZX4" s="46"/>
      <c r="ZY4" s="46"/>
      <c r="ZZ4" s="46"/>
    </row>
    <row r="5" spans="1:702" customFormat="1">
      <c r="D5">
        <v>2</v>
      </c>
      <c r="E5" t="s">
        <v>623</v>
      </c>
      <c r="F5">
        <v>0</v>
      </c>
      <c r="G5">
        <v>1</v>
      </c>
      <c r="H5">
        <v>2</v>
      </c>
      <c r="O5">
        <v>2</v>
      </c>
      <c r="P5" t="s">
        <v>623</v>
      </c>
      <c r="Q5">
        <v>0</v>
      </c>
      <c r="R5">
        <v>1</v>
      </c>
      <c r="S5">
        <v>2</v>
      </c>
      <c r="V5" t="s">
        <v>529</v>
      </c>
      <c r="W5">
        <v>5</v>
      </c>
      <c r="X5" s="46"/>
      <c r="Y5" s="33">
        <v>3</v>
      </c>
      <c r="Z5" s="33" t="s">
        <v>637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46"/>
      <c r="KI5" s="46"/>
      <c r="KJ5" s="46"/>
      <c r="KK5" s="46"/>
      <c r="KL5" s="46"/>
      <c r="KM5" s="46"/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46"/>
      <c r="LY5" s="46"/>
      <c r="LZ5" s="46"/>
      <c r="MA5" s="46"/>
      <c r="MB5" s="46"/>
      <c r="MC5" s="46"/>
      <c r="MD5" s="46"/>
      <c r="ME5" s="46"/>
      <c r="MF5" s="46"/>
      <c r="MG5" s="46"/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46"/>
      <c r="NB5" s="46"/>
      <c r="NC5" s="46"/>
      <c r="ND5" s="46"/>
      <c r="NE5" s="46"/>
      <c r="NF5" s="46"/>
      <c r="NG5" s="46"/>
      <c r="NH5" s="46"/>
      <c r="NI5" s="46"/>
      <c r="NJ5" s="46"/>
      <c r="NK5" s="46"/>
      <c r="NL5" s="46"/>
      <c r="NM5" s="46"/>
      <c r="NN5" s="46"/>
      <c r="NO5" s="46"/>
      <c r="NP5" s="46"/>
      <c r="NQ5" s="46"/>
      <c r="NR5" s="46"/>
      <c r="NS5" s="46"/>
      <c r="NT5" s="46"/>
      <c r="NU5" s="46"/>
      <c r="NV5" s="46"/>
      <c r="NW5" s="46"/>
      <c r="NX5" s="46"/>
      <c r="NY5" s="46"/>
      <c r="NZ5" s="46"/>
      <c r="OA5" s="46"/>
      <c r="OB5" s="46"/>
      <c r="OC5" s="46"/>
      <c r="OD5" s="46"/>
      <c r="OE5" s="46"/>
      <c r="OF5" s="46"/>
      <c r="OG5" s="46"/>
      <c r="OH5" s="46"/>
      <c r="OI5" s="46"/>
      <c r="OJ5" s="46"/>
      <c r="OK5" s="46"/>
      <c r="OL5" s="46"/>
      <c r="OM5" s="46"/>
      <c r="ON5" s="46"/>
      <c r="OO5" s="46"/>
      <c r="OP5" s="46"/>
      <c r="OQ5" s="46"/>
      <c r="OR5" s="46"/>
      <c r="OS5" s="46"/>
      <c r="OT5" s="46"/>
      <c r="OU5" s="46"/>
      <c r="OV5" s="46"/>
      <c r="OW5" s="46"/>
      <c r="OX5" s="46"/>
      <c r="OY5" s="46"/>
      <c r="OZ5" s="46"/>
      <c r="PA5" s="46"/>
      <c r="PB5" s="46"/>
      <c r="PC5" s="46"/>
      <c r="PD5" s="46"/>
      <c r="PE5" s="46"/>
      <c r="PF5" s="46"/>
      <c r="PG5" s="46"/>
      <c r="PH5" s="46"/>
      <c r="PI5" s="46"/>
      <c r="PJ5" s="46"/>
      <c r="PK5" s="46"/>
      <c r="PL5" s="46"/>
      <c r="PM5" s="46"/>
      <c r="PN5" s="46"/>
      <c r="PO5" s="46"/>
      <c r="PP5" s="46"/>
      <c r="PQ5" s="46"/>
      <c r="PR5" s="46"/>
      <c r="PS5" s="46"/>
      <c r="PT5" s="46"/>
      <c r="PU5" s="46"/>
      <c r="PV5" s="46"/>
      <c r="PW5" s="46"/>
      <c r="PX5" s="46"/>
      <c r="PY5" s="46"/>
      <c r="PZ5" s="46"/>
      <c r="QA5" s="46"/>
      <c r="QB5" s="46"/>
      <c r="QC5" s="46"/>
      <c r="QD5" s="46"/>
      <c r="QE5" s="46"/>
      <c r="QF5" s="46"/>
      <c r="QG5" s="46"/>
      <c r="QH5" s="46"/>
      <c r="QI5" s="46"/>
      <c r="QJ5" s="46"/>
      <c r="QK5" s="46"/>
      <c r="QL5" s="46"/>
      <c r="QM5" s="46"/>
      <c r="QN5" s="46"/>
      <c r="QO5" s="46"/>
      <c r="QP5" s="46"/>
      <c r="QQ5" s="46"/>
      <c r="QR5" s="46"/>
      <c r="QS5" s="46"/>
      <c r="QT5" s="46"/>
      <c r="QU5" s="46"/>
      <c r="QV5" s="46"/>
      <c r="QW5" s="46"/>
      <c r="QX5" s="46"/>
      <c r="QY5" s="46"/>
      <c r="QZ5" s="46"/>
      <c r="RA5" s="46"/>
      <c r="RB5" s="46"/>
      <c r="RC5" s="46"/>
      <c r="RD5" s="46"/>
      <c r="RE5" s="46"/>
      <c r="RF5" s="46"/>
      <c r="RG5" s="46"/>
      <c r="RH5" s="46"/>
      <c r="RI5" s="46"/>
      <c r="RJ5" s="46"/>
      <c r="RK5" s="46"/>
      <c r="RL5" s="46"/>
      <c r="RM5" s="46"/>
      <c r="RN5" s="46"/>
      <c r="RO5" s="46"/>
      <c r="RP5" s="46"/>
      <c r="RQ5" s="46"/>
      <c r="RR5" s="46"/>
      <c r="RS5" s="46"/>
      <c r="RT5" s="46"/>
      <c r="RU5" s="46"/>
      <c r="RV5" s="46"/>
      <c r="RW5" s="46"/>
      <c r="RX5" s="46"/>
      <c r="RY5" s="46"/>
      <c r="RZ5" s="46"/>
      <c r="SA5" s="46"/>
      <c r="SB5" s="46"/>
      <c r="SC5" s="46"/>
      <c r="SD5" s="46"/>
      <c r="SE5" s="46"/>
      <c r="SF5" s="46"/>
      <c r="SG5" s="46"/>
      <c r="SH5" s="46"/>
      <c r="SI5" s="46"/>
      <c r="SJ5" s="46"/>
      <c r="SK5" s="46"/>
      <c r="SL5" s="46"/>
      <c r="SM5" s="46"/>
      <c r="SN5" s="46"/>
      <c r="SO5" s="46"/>
      <c r="SP5" s="46"/>
      <c r="SQ5" s="46"/>
      <c r="SR5" s="46"/>
      <c r="SS5" s="46"/>
      <c r="ST5" s="46"/>
      <c r="SU5" s="46"/>
      <c r="SV5" s="46"/>
      <c r="SW5" s="46"/>
      <c r="SX5" s="46"/>
      <c r="SY5" s="46"/>
      <c r="SZ5" s="46"/>
      <c r="TA5" s="46"/>
      <c r="TB5" s="46"/>
      <c r="TC5" s="46"/>
      <c r="TD5" s="46"/>
      <c r="TE5" s="46"/>
      <c r="TF5" s="46"/>
      <c r="TG5" s="46"/>
      <c r="TH5" s="46"/>
      <c r="TI5" s="46"/>
      <c r="TJ5" s="46"/>
      <c r="TK5" s="46"/>
      <c r="TL5" s="46"/>
      <c r="TM5" s="46"/>
      <c r="TN5" s="46"/>
      <c r="TO5" s="46"/>
      <c r="TP5" s="46"/>
      <c r="TQ5" s="46"/>
      <c r="TR5" s="46"/>
      <c r="TS5" s="46"/>
      <c r="TT5" s="46"/>
      <c r="TU5" s="46"/>
      <c r="TV5" s="46"/>
      <c r="TW5" s="46"/>
      <c r="TX5" s="46"/>
      <c r="TY5" s="46"/>
      <c r="TZ5" s="46"/>
      <c r="UA5" s="46"/>
      <c r="UB5" s="46"/>
      <c r="UC5" s="46"/>
      <c r="UD5" s="46"/>
      <c r="UE5" s="46"/>
      <c r="UF5" s="46"/>
      <c r="UG5" s="46"/>
      <c r="UH5" s="46"/>
      <c r="UI5" s="46"/>
      <c r="UJ5" s="46"/>
      <c r="UK5" s="46"/>
      <c r="UL5" s="46"/>
      <c r="UM5" s="46"/>
      <c r="UN5" s="46"/>
      <c r="UO5" s="46"/>
      <c r="UP5" s="46"/>
      <c r="UQ5" s="46"/>
      <c r="UR5" s="46"/>
      <c r="US5" s="46"/>
      <c r="UT5" s="46"/>
      <c r="UU5" s="46"/>
      <c r="UV5" s="46"/>
      <c r="UW5" s="46"/>
      <c r="UX5" s="46"/>
      <c r="UY5" s="46"/>
      <c r="UZ5" s="46"/>
      <c r="VA5" s="46"/>
      <c r="VB5" s="46"/>
      <c r="VC5" s="46"/>
      <c r="VD5" s="46"/>
      <c r="VE5" s="46"/>
      <c r="VF5" s="46"/>
      <c r="VG5" s="46"/>
      <c r="VH5" s="46"/>
      <c r="VI5" s="46"/>
      <c r="VJ5" s="46"/>
      <c r="VK5" s="46"/>
      <c r="VL5" s="46"/>
      <c r="VM5" s="46"/>
      <c r="VN5" s="46"/>
      <c r="VO5" s="46"/>
      <c r="VP5" s="46"/>
      <c r="VQ5" s="46"/>
      <c r="VR5" s="46"/>
      <c r="VS5" s="46"/>
      <c r="VT5" s="46"/>
      <c r="VU5" s="46"/>
      <c r="VV5" s="46"/>
      <c r="VW5" s="46"/>
      <c r="VX5" s="46"/>
      <c r="VY5" s="46"/>
      <c r="VZ5" s="46"/>
      <c r="WA5" s="46"/>
      <c r="WB5" s="46"/>
      <c r="WC5" s="46"/>
      <c r="WD5" s="46"/>
      <c r="WE5" s="46"/>
      <c r="WF5" s="46"/>
      <c r="WG5" s="46"/>
      <c r="WH5" s="46"/>
      <c r="WI5" s="46"/>
      <c r="WJ5" s="46"/>
      <c r="WK5" s="46"/>
      <c r="WL5" s="46"/>
      <c r="WM5" s="46"/>
      <c r="WN5" s="46"/>
      <c r="WO5" s="46"/>
      <c r="WP5" s="46"/>
      <c r="WQ5" s="46"/>
      <c r="WR5" s="46"/>
      <c r="WS5" s="46"/>
      <c r="WT5" s="46"/>
      <c r="WU5" s="46"/>
      <c r="WV5" s="46"/>
      <c r="WW5" s="46"/>
      <c r="WX5" s="46"/>
      <c r="WY5" s="46"/>
      <c r="WZ5" s="46"/>
      <c r="XA5" s="46"/>
      <c r="XB5" s="46"/>
      <c r="XC5" s="46"/>
      <c r="XD5" s="46"/>
      <c r="XE5" s="46"/>
      <c r="XF5" s="46"/>
      <c r="XG5" s="46"/>
      <c r="XH5" s="46"/>
      <c r="XI5" s="46"/>
      <c r="XJ5" s="46"/>
      <c r="XK5" s="46"/>
      <c r="XL5" s="46"/>
      <c r="XM5" s="46"/>
      <c r="XN5" s="46"/>
      <c r="XO5" s="46"/>
      <c r="XP5" s="46"/>
      <c r="XQ5" s="46"/>
      <c r="XR5" s="46"/>
      <c r="XS5" s="46"/>
      <c r="XT5" s="46"/>
      <c r="XU5" s="46"/>
      <c r="XV5" s="46"/>
      <c r="XW5" s="46"/>
      <c r="XX5" s="46"/>
      <c r="XY5" s="46"/>
      <c r="XZ5" s="46"/>
      <c r="YA5" s="46"/>
      <c r="YB5" s="46"/>
      <c r="YC5" s="46"/>
      <c r="YD5" s="46"/>
      <c r="YE5" s="46"/>
      <c r="YF5" s="46"/>
      <c r="YG5" s="46"/>
      <c r="YH5" s="46"/>
      <c r="YI5" s="46"/>
      <c r="YJ5" s="46"/>
      <c r="YK5" s="46"/>
      <c r="YL5" s="46"/>
      <c r="YM5" s="46"/>
      <c r="YN5" s="46"/>
      <c r="YO5" s="46"/>
      <c r="YP5" s="46"/>
      <c r="YQ5" s="46"/>
      <c r="YR5" s="46"/>
      <c r="YS5" s="46"/>
      <c r="YT5" s="46"/>
      <c r="YU5" s="46"/>
      <c r="YV5" s="46"/>
      <c r="YW5" s="46"/>
      <c r="YX5" s="46"/>
      <c r="YY5" s="46"/>
      <c r="YZ5" s="46"/>
      <c r="ZA5" s="46"/>
      <c r="ZB5" s="46"/>
      <c r="ZC5" s="46"/>
      <c r="ZD5" s="46"/>
      <c r="ZE5" s="46"/>
      <c r="ZF5" s="46"/>
      <c r="ZG5" s="46"/>
      <c r="ZH5" s="46"/>
      <c r="ZI5" s="46"/>
      <c r="ZJ5" s="46"/>
      <c r="ZK5" s="46"/>
      <c r="ZL5" s="46"/>
      <c r="ZM5" s="46"/>
      <c r="ZN5" s="46"/>
      <c r="ZO5" s="46"/>
      <c r="ZP5" s="46"/>
      <c r="ZQ5" s="46"/>
      <c r="ZR5" s="46"/>
      <c r="ZS5" s="46"/>
      <c r="ZT5" s="46"/>
      <c r="ZU5" s="46"/>
      <c r="ZV5" s="46"/>
      <c r="ZW5" s="46"/>
      <c r="ZX5" s="46"/>
      <c r="ZY5" s="46"/>
      <c r="ZZ5" s="46"/>
    </row>
    <row r="6" spans="1:702" customFormat="1">
      <c r="D6">
        <v>3</v>
      </c>
      <c r="E6" t="s">
        <v>132</v>
      </c>
      <c r="F6" t="s">
        <v>33</v>
      </c>
      <c r="O6">
        <v>3</v>
      </c>
      <c r="P6" t="s">
        <v>132</v>
      </c>
      <c r="Q6" t="s">
        <v>137</v>
      </c>
      <c r="R6" t="s">
        <v>139</v>
      </c>
      <c r="S6" t="s">
        <v>141</v>
      </c>
      <c r="T6" t="s">
        <v>143</v>
      </c>
      <c r="V6" t="s">
        <v>530</v>
      </c>
      <c r="W6">
        <v>5</v>
      </c>
      <c r="X6" s="46"/>
      <c r="Y6" s="46">
        <v>4</v>
      </c>
      <c r="Z6" s="33" t="s">
        <v>636</v>
      </c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46"/>
      <c r="KI6" s="46"/>
      <c r="KJ6" s="46"/>
      <c r="KK6" s="46"/>
      <c r="KL6" s="46"/>
      <c r="KM6" s="46"/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46"/>
      <c r="LY6" s="46"/>
      <c r="LZ6" s="46"/>
      <c r="MA6" s="46"/>
      <c r="MB6" s="46"/>
      <c r="MC6" s="46"/>
      <c r="MD6" s="46"/>
      <c r="ME6" s="46"/>
      <c r="MF6" s="46"/>
      <c r="MG6" s="46"/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46"/>
      <c r="NB6" s="46"/>
      <c r="NC6" s="46"/>
      <c r="ND6" s="46"/>
      <c r="NE6" s="46"/>
      <c r="NF6" s="46"/>
      <c r="NG6" s="46"/>
      <c r="NH6" s="46"/>
      <c r="NI6" s="46"/>
      <c r="NJ6" s="46"/>
      <c r="NK6" s="46"/>
      <c r="NL6" s="46"/>
      <c r="NM6" s="46"/>
      <c r="NN6" s="46"/>
      <c r="NO6" s="46"/>
      <c r="NP6" s="46"/>
      <c r="NQ6" s="46"/>
      <c r="NR6" s="46"/>
      <c r="NS6" s="46"/>
      <c r="NT6" s="46"/>
      <c r="NU6" s="46"/>
      <c r="NV6" s="46"/>
      <c r="NW6" s="46"/>
      <c r="NX6" s="46"/>
      <c r="NY6" s="46"/>
      <c r="NZ6" s="46"/>
      <c r="OA6" s="46"/>
      <c r="OB6" s="46"/>
      <c r="OC6" s="46"/>
      <c r="OD6" s="46"/>
      <c r="OE6" s="46"/>
      <c r="OF6" s="46"/>
      <c r="OG6" s="46"/>
      <c r="OH6" s="46"/>
      <c r="OI6" s="46"/>
      <c r="OJ6" s="46"/>
      <c r="OK6" s="46"/>
      <c r="OL6" s="46"/>
      <c r="OM6" s="46"/>
      <c r="ON6" s="46"/>
      <c r="OO6" s="46"/>
      <c r="OP6" s="46"/>
      <c r="OQ6" s="46"/>
      <c r="OR6" s="46"/>
      <c r="OS6" s="46"/>
      <c r="OT6" s="46"/>
      <c r="OU6" s="46"/>
      <c r="OV6" s="46"/>
      <c r="OW6" s="46"/>
      <c r="OX6" s="46"/>
      <c r="OY6" s="46"/>
      <c r="OZ6" s="46"/>
      <c r="PA6" s="46"/>
      <c r="PB6" s="46"/>
      <c r="PC6" s="46"/>
      <c r="PD6" s="46"/>
      <c r="PE6" s="46"/>
      <c r="PF6" s="46"/>
      <c r="PG6" s="46"/>
      <c r="PH6" s="46"/>
      <c r="PI6" s="46"/>
      <c r="PJ6" s="46"/>
      <c r="PK6" s="46"/>
      <c r="PL6" s="46"/>
      <c r="PM6" s="46"/>
      <c r="PN6" s="46"/>
      <c r="PO6" s="46"/>
      <c r="PP6" s="46"/>
      <c r="PQ6" s="46"/>
      <c r="PR6" s="46"/>
      <c r="PS6" s="46"/>
      <c r="PT6" s="46"/>
      <c r="PU6" s="46"/>
      <c r="PV6" s="46"/>
      <c r="PW6" s="46"/>
      <c r="PX6" s="46"/>
      <c r="PY6" s="46"/>
      <c r="PZ6" s="46"/>
      <c r="QA6" s="46"/>
      <c r="QB6" s="46"/>
      <c r="QC6" s="46"/>
      <c r="QD6" s="46"/>
      <c r="QE6" s="46"/>
      <c r="QF6" s="46"/>
      <c r="QG6" s="46"/>
      <c r="QH6" s="46"/>
      <c r="QI6" s="46"/>
      <c r="QJ6" s="46"/>
      <c r="QK6" s="46"/>
      <c r="QL6" s="46"/>
      <c r="QM6" s="46"/>
      <c r="QN6" s="46"/>
      <c r="QO6" s="46"/>
      <c r="QP6" s="46"/>
      <c r="QQ6" s="46"/>
      <c r="QR6" s="46"/>
      <c r="QS6" s="46"/>
      <c r="QT6" s="46"/>
      <c r="QU6" s="46"/>
      <c r="QV6" s="46"/>
      <c r="QW6" s="46"/>
      <c r="QX6" s="46"/>
      <c r="QY6" s="46"/>
      <c r="QZ6" s="46"/>
      <c r="RA6" s="46"/>
      <c r="RB6" s="46"/>
      <c r="RC6" s="46"/>
      <c r="RD6" s="46"/>
      <c r="RE6" s="46"/>
      <c r="RF6" s="46"/>
      <c r="RG6" s="46"/>
      <c r="RH6" s="46"/>
      <c r="RI6" s="46"/>
      <c r="RJ6" s="46"/>
      <c r="RK6" s="46"/>
      <c r="RL6" s="46"/>
      <c r="RM6" s="46"/>
      <c r="RN6" s="46"/>
      <c r="RO6" s="46"/>
      <c r="RP6" s="46"/>
      <c r="RQ6" s="46"/>
      <c r="RR6" s="46"/>
      <c r="RS6" s="46"/>
      <c r="RT6" s="46"/>
      <c r="RU6" s="46"/>
      <c r="RV6" s="46"/>
      <c r="RW6" s="46"/>
      <c r="RX6" s="46"/>
      <c r="RY6" s="46"/>
      <c r="RZ6" s="46"/>
      <c r="SA6" s="46"/>
      <c r="SB6" s="46"/>
      <c r="SC6" s="46"/>
      <c r="SD6" s="46"/>
      <c r="SE6" s="46"/>
      <c r="SF6" s="46"/>
      <c r="SG6" s="46"/>
      <c r="SH6" s="46"/>
      <c r="SI6" s="46"/>
      <c r="SJ6" s="46"/>
      <c r="SK6" s="46"/>
      <c r="SL6" s="46"/>
      <c r="SM6" s="46"/>
      <c r="SN6" s="46"/>
      <c r="SO6" s="46"/>
      <c r="SP6" s="46"/>
      <c r="SQ6" s="46"/>
      <c r="SR6" s="46"/>
      <c r="SS6" s="46"/>
      <c r="ST6" s="46"/>
      <c r="SU6" s="46"/>
      <c r="SV6" s="46"/>
      <c r="SW6" s="46"/>
      <c r="SX6" s="46"/>
      <c r="SY6" s="46"/>
      <c r="SZ6" s="46"/>
      <c r="TA6" s="46"/>
      <c r="TB6" s="46"/>
      <c r="TC6" s="46"/>
      <c r="TD6" s="46"/>
      <c r="TE6" s="46"/>
      <c r="TF6" s="46"/>
      <c r="TG6" s="46"/>
      <c r="TH6" s="46"/>
      <c r="TI6" s="46"/>
      <c r="TJ6" s="46"/>
      <c r="TK6" s="46"/>
      <c r="TL6" s="46"/>
      <c r="TM6" s="46"/>
      <c r="TN6" s="46"/>
      <c r="TO6" s="46"/>
      <c r="TP6" s="46"/>
      <c r="TQ6" s="46"/>
      <c r="TR6" s="46"/>
      <c r="TS6" s="46"/>
      <c r="TT6" s="46"/>
      <c r="TU6" s="46"/>
      <c r="TV6" s="46"/>
      <c r="TW6" s="46"/>
      <c r="TX6" s="46"/>
      <c r="TY6" s="46"/>
      <c r="TZ6" s="46"/>
      <c r="UA6" s="46"/>
      <c r="UB6" s="46"/>
      <c r="UC6" s="46"/>
      <c r="UD6" s="46"/>
      <c r="UE6" s="46"/>
      <c r="UF6" s="46"/>
      <c r="UG6" s="46"/>
      <c r="UH6" s="46"/>
      <c r="UI6" s="46"/>
      <c r="UJ6" s="46"/>
      <c r="UK6" s="46"/>
      <c r="UL6" s="46"/>
      <c r="UM6" s="46"/>
      <c r="UN6" s="46"/>
      <c r="UO6" s="46"/>
      <c r="UP6" s="46"/>
      <c r="UQ6" s="46"/>
      <c r="UR6" s="46"/>
      <c r="US6" s="46"/>
      <c r="UT6" s="46"/>
      <c r="UU6" s="46"/>
      <c r="UV6" s="46"/>
      <c r="UW6" s="46"/>
      <c r="UX6" s="46"/>
      <c r="UY6" s="46"/>
      <c r="UZ6" s="46"/>
      <c r="VA6" s="46"/>
      <c r="VB6" s="46"/>
      <c r="VC6" s="46"/>
      <c r="VD6" s="46"/>
      <c r="VE6" s="46"/>
      <c r="VF6" s="46"/>
      <c r="VG6" s="46"/>
      <c r="VH6" s="46"/>
      <c r="VI6" s="46"/>
      <c r="VJ6" s="46"/>
      <c r="VK6" s="46"/>
      <c r="VL6" s="46"/>
      <c r="VM6" s="46"/>
      <c r="VN6" s="46"/>
      <c r="VO6" s="46"/>
      <c r="VP6" s="46"/>
      <c r="VQ6" s="46"/>
      <c r="VR6" s="46"/>
      <c r="VS6" s="46"/>
      <c r="VT6" s="46"/>
      <c r="VU6" s="46"/>
      <c r="VV6" s="46"/>
      <c r="VW6" s="46"/>
      <c r="VX6" s="46"/>
      <c r="VY6" s="46"/>
      <c r="VZ6" s="46"/>
      <c r="WA6" s="46"/>
      <c r="WB6" s="46"/>
      <c r="WC6" s="46"/>
      <c r="WD6" s="46"/>
      <c r="WE6" s="46"/>
      <c r="WF6" s="46"/>
      <c r="WG6" s="46"/>
      <c r="WH6" s="46"/>
      <c r="WI6" s="46"/>
      <c r="WJ6" s="46"/>
      <c r="WK6" s="46"/>
      <c r="WL6" s="46"/>
      <c r="WM6" s="46"/>
      <c r="WN6" s="46"/>
      <c r="WO6" s="46"/>
      <c r="WP6" s="46"/>
      <c r="WQ6" s="46"/>
      <c r="WR6" s="46"/>
      <c r="WS6" s="46"/>
      <c r="WT6" s="46"/>
      <c r="WU6" s="46"/>
      <c r="WV6" s="46"/>
      <c r="WW6" s="46"/>
      <c r="WX6" s="46"/>
      <c r="WY6" s="46"/>
      <c r="WZ6" s="46"/>
      <c r="XA6" s="46"/>
      <c r="XB6" s="46"/>
      <c r="XC6" s="46"/>
      <c r="XD6" s="46"/>
      <c r="XE6" s="46"/>
      <c r="XF6" s="46"/>
      <c r="XG6" s="46"/>
      <c r="XH6" s="46"/>
      <c r="XI6" s="46"/>
      <c r="XJ6" s="46"/>
      <c r="XK6" s="46"/>
      <c r="XL6" s="46"/>
      <c r="XM6" s="46"/>
      <c r="XN6" s="46"/>
      <c r="XO6" s="46"/>
      <c r="XP6" s="46"/>
      <c r="XQ6" s="46"/>
      <c r="XR6" s="46"/>
      <c r="XS6" s="46"/>
      <c r="XT6" s="46"/>
      <c r="XU6" s="46"/>
      <c r="XV6" s="46"/>
      <c r="XW6" s="46"/>
      <c r="XX6" s="46"/>
      <c r="XY6" s="46"/>
      <c r="XZ6" s="46"/>
      <c r="YA6" s="46"/>
      <c r="YB6" s="46"/>
      <c r="YC6" s="46"/>
      <c r="YD6" s="46"/>
      <c r="YE6" s="46"/>
      <c r="YF6" s="46"/>
      <c r="YG6" s="46"/>
      <c r="YH6" s="46"/>
      <c r="YI6" s="46"/>
      <c r="YJ6" s="46"/>
      <c r="YK6" s="46"/>
      <c r="YL6" s="46"/>
      <c r="YM6" s="46"/>
      <c r="YN6" s="46"/>
      <c r="YO6" s="46"/>
      <c r="YP6" s="46"/>
      <c r="YQ6" s="46"/>
      <c r="YR6" s="46"/>
      <c r="YS6" s="46"/>
      <c r="YT6" s="46"/>
      <c r="YU6" s="46"/>
      <c r="YV6" s="46"/>
      <c r="YW6" s="46"/>
      <c r="YX6" s="46"/>
      <c r="YY6" s="46"/>
      <c r="YZ6" s="46"/>
      <c r="ZA6" s="46"/>
      <c r="ZB6" s="46"/>
      <c r="ZC6" s="46"/>
      <c r="ZD6" s="46"/>
      <c r="ZE6" s="46"/>
      <c r="ZF6" s="46"/>
      <c r="ZG6" s="46"/>
      <c r="ZH6" s="46"/>
      <c r="ZI6" s="46"/>
      <c r="ZJ6" s="46"/>
      <c r="ZK6" s="46"/>
      <c r="ZL6" s="46"/>
      <c r="ZM6" s="46"/>
      <c r="ZN6" s="46"/>
      <c r="ZO6" s="46"/>
      <c r="ZP6" s="46"/>
      <c r="ZQ6" s="46"/>
      <c r="ZR6" s="46"/>
      <c r="ZS6" s="46"/>
      <c r="ZT6" s="46"/>
      <c r="ZU6" s="46"/>
      <c r="ZV6" s="46"/>
      <c r="ZW6" s="46"/>
      <c r="ZX6" s="46"/>
      <c r="ZY6" s="46"/>
      <c r="ZZ6" s="46"/>
    </row>
    <row r="7" spans="1:702" customFormat="1">
      <c r="C7">
        <v>3</v>
      </c>
      <c r="E7" t="s">
        <v>149</v>
      </c>
      <c r="F7" t="s">
        <v>33</v>
      </c>
      <c r="O7">
        <v>4</v>
      </c>
      <c r="P7" t="s">
        <v>149</v>
      </c>
      <c r="Q7" t="s">
        <v>137</v>
      </c>
      <c r="R7" t="s">
        <v>139</v>
      </c>
      <c r="S7" t="s">
        <v>141</v>
      </c>
      <c r="T7" t="s">
        <v>143</v>
      </c>
      <c r="V7" t="s">
        <v>531</v>
      </c>
      <c r="W7">
        <v>5</v>
      </c>
      <c r="X7" s="46"/>
      <c r="Y7" s="46">
        <v>5</v>
      </c>
      <c r="Z7" s="46" t="s">
        <v>634</v>
      </c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46"/>
      <c r="KI7" s="46"/>
      <c r="KJ7" s="46"/>
      <c r="KK7" s="46"/>
      <c r="KL7" s="46"/>
      <c r="KM7" s="46"/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46"/>
      <c r="LY7" s="46"/>
      <c r="LZ7" s="46"/>
      <c r="MA7" s="46"/>
      <c r="MB7" s="46"/>
      <c r="MC7" s="46"/>
      <c r="MD7" s="46"/>
      <c r="ME7" s="46"/>
      <c r="MF7" s="46"/>
      <c r="MG7" s="46"/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46"/>
      <c r="NB7" s="46"/>
      <c r="NC7" s="46"/>
      <c r="ND7" s="46"/>
      <c r="NE7" s="46"/>
      <c r="NF7" s="46"/>
      <c r="NG7" s="46"/>
      <c r="NH7" s="46"/>
      <c r="NI7" s="46"/>
      <c r="NJ7" s="46"/>
      <c r="NK7" s="46"/>
      <c r="NL7" s="46"/>
      <c r="NM7" s="46"/>
      <c r="NN7" s="46"/>
      <c r="NO7" s="46"/>
      <c r="NP7" s="46"/>
      <c r="NQ7" s="46"/>
      <c r="NR7" s="46"/>
      <c r="NS7" s="46"/>
      <c r="NT7" s="46"/>
      <c r="NU7" s="46"/>
      <c r="NV7" s="46"/>
      <c r="NW7" s="46"/>
      <c r="NX7" s="46"/>
      <c r="NY7" s="46"/>
      <c r="NZ7" s="46"/>
      <c r="OA7" s="46"/>
      <c r="OB7" s="46"/>
      <c r="OC7" s="46"/>
      <c r="OD7" s="46"/>
      <c r="OE7" s="46"/>
      <c r="OF7" s="46"/>
      <c r="OG7" s="46"/>
      <c r="OH7" s="46"/>
      <c r="OI7" s="46"/>
      <c r="OJ7" s="46"/>
      <c r="OK7" s="46"/>
      <c r="OL7" s="46"/>
      <c r="OM7" s="46"/>
      <c r="ON7" s="46"/>
      <c r="OO7" s="46"/>
      <c r="OP7" s="46"/>
      <c r="OQ7" s="46"/>
      <c r="OR7" s="46"/>
      <c r="OS7" s="46"/>
      <c r="OT7" s="46"/>
      <c r="OU7" s="46"/>
      <c r="OV7" s="46"/>
      <c r="OW7" s="46"/>
      <c r="OX7" s="46"/>
      <c r="OY7" s="46"/>
      <c r="OZ7" s="46"/>
      <c r="PA7" s="46"/>
      <c r="PB7" s="46"/>
      <c r="PC7" s="46"/>
      <c r="PD7" s="46"/>
      <c r="PE7" s="46"/>
      <c r="PF7" s="46"/>
      <c r="PG7" s="46"/>
      <c r="PH7" s="46"/>
      <c r="PI7" s="46"/>
      <c r="PJ7" s="46"/>
      <c r="PK7" s="46"/>
      <c r="PL7" s="46"/>
      <c r="PM7" s="46"/>
      <c r="PN7" s="46"/>
      <c r="PO7" s="46"/>
      <c r="PP7" s="46"/>
      <c r="PQ7" s="46"/>
      <c r="PR7" s="46"/>
      <c r="PS7" s="46"/>
      <c r="PT7" s="46"/>
      <c r="PU7" s="46"/>
      <c r="PV7" s="46"/>
      <c r="PW7" s="46"/>
      <c r="PX7" s="46"/>
      <c r="PY7" s="46"/>
      <c r="PZ7" s="46"/>
      <c r="QA7" s="46"/>
      <c r="QB7" s="46"/>
      <c r="QC7" s="46"/>
      <c r="QD7" s="46"/>
      <c r="QE7" s="46"/>
      <c r="QF7" s="46"/>
      <c r="QG7" s="46"/>
      <c r="QH7" s="46"/>
      <c r="QI7" s="46"/>
      <c r="QJ7" s="46"/>
      <c r="QK7" s="46"/>
      <c r="QL7" s="46"/>
      <c r="QM7" s="46"/>
      <c r="QN7" s="46"/>
      <c r="QO7" s="46"/>
      <c r="QP7" s="46"/>
      <c r="QQ7" s="46"/>
      <c r="QR7" s="46"/>
      <c r="QS7" s="46"/>
      <c r="QT7" s="46"/>
      <c r="QU7" s="46"/>
      <c r="QV7" s="46"/>
      <c r="QW7" s="46"/>
      <c r="QX7" s="46"/>
      <c r="QY7" s="46"/>
      <c r="QZ7" s="46"/>
      <c r="RA7" s="46"/>
      <c r="RB7" s="46"/>
      <c r="RC7" s="46"/>
      <c r="RD7" s="46"/>
      <c r="RE7" s="46"/>
      <c r="RF7" s="46"/>
      <c r="RG7" s="46"/>
      <c r="RH7" s="46"/>
      <c r="RI7" s="46"/>
      <c r="RJ7" s="46"/>
      <c r="RK7" s="46"/>
      <c r="RL7" s="46"/>
      <c r="RM7" s="46"/>
      <c r="RN7" s="46"/>
      <c r="RO7" s="46"/>
      <c r="RP7" s="46"/>
      <c r="RQ7" s="46"/>
      <c r="RR7" s="46"/>
      <c r="RS7" s="46"/>
      <c r="RT7" s="46"/>
      <c r="RU7" s="46"/>
      <c r="RV7" s="46"/>
      <c r="RW7" s="46"/>
      <c r="RX7" s="46"/>
      <c r="RY7" s="46"/>
      <c r="RZ7" s="46"/>
      <c r="SA7" s="46"/>
      <c r="SB7" s="46"/>
      <c r="SC7" s="46"/>
      <c r="SD7" s="46"/>
      <c r="SE7" s="46"/>
      <c r="SF7" s="46"/>
      <c r="SG7" s="46"/>
      <c r="SH7" s="46"/>
      <c r="SI7" s="46"/>
      <c r="SJ7" s="46"/>
      <c r="SK7" s="46"/>
      <c r="SL7" s="46"/>
      <c r="SM7" s="46"/>
      <c r="SN7" s="46"/>
      <c r="SO7" s="46"/>
      <c r="SP7" s="46"/>
      <c r="SQ7" s="46"/>
      <c r="SR7" s="46"/>
      <c r="SS7" s="46"/>
      <c r="ST7" s="46"/>
      <c r="SU7" s="46"/>
      <c r="SV7" s="46"/>
      <c r="SW7" s="46"/>
      <c r="SX7" s="46"/>
      <c r="SY7" s="46"/>
      <c r="SZ7" s="46"/>
      <c r="TA7" s="46"/>
      <c r="TB7" s="46"/>
      <c r="TC7" s="46"/>
      <c r="TD7" s="46"/>
      <c r="TE7" s="46"/>
      <c r="TF7" s="46"/>
      <c r="TG7" s="46"/>
      <c r="TH7" s="46"/>
      <c r="TI7" s="46"/>
      <c r="TJ7" s="46"/>
      <c r="TK7" s="46"/>
      <c r="TL7" s="46"/>
      <c r="TM7" s="46"/>
      <c r="TN7" s="46"/>
      <c r="TO7" s="46"/>
      <c r="TP7" s="46"/>
      <c r="TQ7" s="46"/>
      <c r="TR7" s="46"/>
      <c r="TS7" s="46"/>
      <c r="TT7" s="46"/>
      <c r="TU7" s="46"/>
      <c r="TV7" s="46"/>
      <c r="TW7" s="46"/>
      <c r="TX7" s="46"/>
      <c r="TY7" s="46"/>
      <c r="TZ7" s="46"/>
      <c r="UA7" s="46"/>
      <c r="UB7" s="46"/>
      <c r="UC7" s="46"/>
      <c r="UD7" s="46"/>
      <c r="UE7" s="46"/>
      <c r="UF7" s="46"/>
      <c r="UG7" s="46"/>
      <c r="UH7" s="46"/>
      <c r="UI7" s="46"/>
      <c r="UJ7" s="46"/>
      <c r="UK7" s="46"/>
      <c r="UL7" s="46"/>
      <c r="UM7" s="46"/>
      <c r="UN7" s="46"/>
      <c r="UO7" s="46"/>
      <c r="UP7" s="46"/>
      <c r="UQ7" s="46"/>
      <c r="UR7" s="46"/>
      <c r="US7" s="46"/>
      <c r="UT7" s="46"/>
      <c r="UU7" s="46"/>
      <c r="UV7" s="46"/>
      <c r="UW7" s="46"/>
      <c r="UX7" s="46"/>
      <c r="UY7" s="46"/>
      <c r="UZ7" s="46"/>
      <c r="VA7" s="46"/>
      <c r="VB7" s="46"/>
      <c r="VC7" s="46"/>
      <c r="VD7" s="46"/>
      <c r="VE7" s="46"/>
      <c r="VF7" s="46"/>
      <c r="VG7" s="46"/>
      <c r="VH7" s="46"/>
      <c r="VI7" s="46"/>
      <c r="VJ7" s="46"/>
      <c r="VK7" s="46"/>
      <c r="VL7" s="46"/>
      <c r="VM7" s="46"/>
      <c r="VN7" s="46"/>
      <c r="VO7" s="46"/>
      <c r="VP7" s="46"/>
      <c r="VQ7" s="46"/>
      <c r="VR7" s="46"/>
      <c r="VS7" s="46"/>
      <c r="VT7" s="46"/>
      <c r="VU7" s="46"/>
      <c r="VV7" s="46"/>
      <c r="VW7" s="46"/>
      <c r="VX7" s="46"/>
      <c r="VY7" s="46"/>
      <c r="VZ7" s="46"/>
      <c r="WA7" s="46"/>
      <c r="WB7" s="46"/>
      <c r="WC7" s="46"/>
      <c r="WD7" s="46"/>
      <c r="WE7" s="46"/>
      <c r="WF7" s="46"/>
      <c r="WG7" s="46"/>
      <c r="WH7" s="46"/>
      <c r="WI7" s="46"/>
      <c r="WJ7" s="46"/>
      <c r="WK7" s="46"/>
      <c r="WL7" s="46"/>
      <c r="WM7" s="46"/>
      <c r="WN7" s="46"/>
      <c r="WO7" s="46"/>
      <c r="WP7" s="46"/>
      <c r="WQ7" s="46"/>
      <c r="WR7" s="46"/>
      <c r="WS7" s="46"/>
      <c r="WT7" s="46"/>
      <c r="WU7" s="46"/>
      <c r="WV7" s="46"/>
      <c r="WW7" s="46"/>
      <c r="WX7" s="46"/>
      <c r="WY7" s="46"/>
      <c r="WZ7" s="46"/>
      <c r="XA7" s="46"/>
      <c r="XB7" s="46"/>
      <c r="XC7" s="46"/>
      <c r="XD7" s="46"/>
      <c r="XE7" s="46"/>
      <c r="XF7" s="46"/>
      <c r="XG7" s="46"/>
      <c r="XH7" s="46"/>
      <c r="XI7" s="46"/>
      <c r="XJ7" s="46"/>
      <c r="XK7" s="46"/>
      <c r="XL7" s="46"/>
      <c r="XM7" s="46"/>
      <c r="XN7" s="46"/>
      <c r="XO7" s="46"/>
      <c r="XP7" s="46"/>
      <c r="XQ7" s="46"/>
      <c r="XR7" s="46"/>
      <c r="XS7" s="46"/>
      <c r="XT7" s="46"/>
      <c r="XU7" s="46"/>
      <c r="XV7" s="46"/>
      <c r="XW7" s="46"/>
      <c r="XX7" s="46"/>
      <c r="XY7" s="46"/>
      <c r="XZ7" s="46"/>
      <c r="YA7" s="46"/>
      <c r="YB7" s="46"/>
      <c r="YC7" s="46"/>
      <c r="YD7" s="46"/>
      <c r="YE7" s="46"/>
      <c r="YF7" s="46"/>
      <c r="YG7" s="46"/>
      <c r="YH7" s="46"/>
      <c r="YI7" s="46"/>
      <c r="YJ7" s="46"/>
      <c r="YK7" s="46"/>
      <c r="YL7" s="46"/>
      <c r="YM7" s="46"/>
      <c r="YN7" s="46"/>
      <c r="YO7" s="46"/>
      <c r="YP7" s="46"/>
      <c r="YQ7" s="46"/>
      <c r="YR7" s="46"/>
      <c r="YS7" s="46"/>
      <c r="YT7" s="46"/>
      <c r="YU7" s="46"/>
      <c r="YV7" s="46"/>
      <c r="YW7" s="46"/>
      <c r="YX7" s="46"/>
      <c r="YY7" s="46"/>
      <c r="YZ7" s="46"/>
      <c r="ZA7" s="46"/>
      <c r="ZB7" s="46"/>
      <c r="ZC7" s="46"/>
      <c r="ZD7" s="46"/>
      <c r="ZE7" s="46"/>
      <c r="ZF7" s="46"/>
      <c r="ZG7" s="46"/>
      <c r="ZH7" s="46"/>
      <c r="ZI7" s="46"/>
      <c r="ZJ7" s="46"/>
      <c r="ZK7" s="46"/>
      <c r="ZL7" s="46"/>
      <c r="ZM7" s="46"/>
      <c r="ZN7" s="46"/>
      <c r="ZO7" s="46"/>
      <c r="ZP7" s="46"/>
      <c r="ZQ7" s="46"/>
      <c r="ZR7" s="46"/>
      <c r="ZS7" s="46"/>
      <c r="ZT7" s="46"/>
      <c r="ZU7" s="46"/>
      <c r="ZV7" s="46"/>
      <c r="ZW7" s="46"/>
      <c r="ZX7" s="46"/>
      <c r="ZY7" s="46"/>
      <c r="ZZ7" s="46"/>
    </row>
    <row r="8" spans="1:702" customFormat="1">
      <c r="C8">
        <v>3</v>
      </c>
      <c r="E8" t="s">
        <v>151</v>
      </c>
      <c r="F8" t="s">
        <v>33</v>
      </c>
      <c r="N8">
        <v>3</v>
      </c>
      <c r="P8" t="s">
        <v>151</v>
      </c>
      <c r="Q8" t="s">
        <v>137</v>
      </c>
      <c r="R8" t="s">
        <v>139</v>
      </c>
      <c r="S8" t="s">
        <v>141</v>
      </c>
      <c r="T8" t="s">
        <v>143</v>
      </c>
      <c r="X8" s="46"/>
      <c r="Y8" s="33">
        <v>6</v>
      </c>
      <c r="Z8" s="33" t="s">
        <v>635</v>
      </c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46"/>
      <c r="KI8" s="46"/>
      <c r="KJ8" s="46"/>
      <c r="KK8" s="46"/>
      <c r="KL8" s="46"/>
      <c r="KM8" s="46"/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46"/>
      <c r="LY8" s="46"/>
      <c r="LZ8" s="46"/>
      <c r="MA8" s="46"/>
      <c r="MB8" s="46"/>
      <c r="MC8" s="46"/>
      <c r="MD8" s="46"/>
      <c r="ME8" s="46"/>
      <c r="MF8" s="46"/>
      <c r="MG8" s="46"/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46"/>
      <c r="NB8" s="46"/>
      <c r="NC8" s="46"/>
      <c r="ND8" s="46"/>
      <c r="NE8" s="46"/>
      <c r="NF8" s="46"/>
      <c r="NG8" s="46"/>
      <c r="NH8" s="46"/>
      <c r="NI8" s="46"/>
      <c r="NJ8" s="46"/>
      <c r="NK8" s="46"/>
      <c r="NL8" s="46"/>
      <c r="NM8" s="46"/>
      <c r="NN8" s="46"/>
      <c r="NO8" s="46"/>
      <c r="NP8" s="46"/>
      <c r="NQ8" s="46"/>
      <c r="NR8" s="46"/>
      <c r="NS8" s="46"/>
      <c r="NT8" s="46"/>
      <c r="NU8" s="46"/>
      <c r="NV8" s="46"/>
      <c r="NW8" s="46"/>
      <c r="NX8" s="46"/>
      <c r="NY8" s="46"/>
      <c r="NZ8" s="46"/>
      <c r="OA8" s="46"/>
      <c r="OB8" s="46"/>
      <c r="OC8" s="46"/>
      <c r="OD8" s="46"/>
      <c r="OE8" s="46"/>
      <c r="OF8" s="46"/>
      <c r="OG8" s="46"/>
      <c r="OH8" s="46"/>
      <c r="OI8" s="46"/>
      <c r="OJ8" s="46"/>
      <c r="OK8" s="46"/>
      <c r="OL8" s="46"/>
      <c r="OM8" s="46"/>
      <c r="ON8" s="46"/>
      <c r="OO8" s="46"/>
      <c r="OP8" s="46"/>
      <c r="OQ8" s="46"/>
      <c r="OR8" s="46"/>
      <c r="OS8" s="46"/>
      <c r="OT8" s="46"/>
      <c r="OU8" s="46"/>
      <c r="OV8" s="46"/>
      <c r="OW8" s="46"/>
      <c r="OX8" s="46"/>
      <c r="OY8" s="46"/>
      <c r="OZ8" s="46"/>
      <c r="PA8" s="46"/>
      <c r="PB8" s="46"/>
      <c r="PC8" s="46"/>
      <c r="PD8" s="46"/>
      <c r="PE8" s="46"/>
      <c r="PF8" s="46"/>
      <c r="PG8" s="46"/>
      <c r="PH8" s="46"/>
      <c r="PI8" s="46"/>
      <c r="PJ8" s="46"/>
      <c r="PK8" s="46"/>
      <c r="PL8" s="46"/>
      <c r="PM8" s="46"/>
      <c r="PN8" s="46"/>
      <c r="PO8" s="46"/>
      <c r="PP8" s="46"/>
      <c r="PQ8" s="46"/>
      <c r="PR8" s="46"/>
      <c r="PS8" s="46"/>
      <c r="PT8" s="46"/>
      <c r="PU8" s="46"/>
      <c r="PV8" s="46"/>
      <c r="PW8" s="46"/>
      <c r="PX8" s="46"/>
      <c r="PY8" s="46"/>
      <c r="PZ8" s="46"/>
      <c r="QA8" s="46"/>
      <c r="QB8" s="46"/>
      <c r="QC8" s="46"/>
      <c r="QD8" s="46"/>
      <c r="QE8" s="46"/>
      <c r="QF8" s="46"/>
      <c r="QG8" s="46"/>
      <c r="QH8" s="46"/>
      <c r="QI8" s="46"/>
      <c r="QJ8" s="46"/>
      <c r="QK8" s="46"/>
      <c r="QL8" s="46"/>
      <c r="QM8" s="46"/>
      <c r="QN8" s="46"/>
      <c r="QO8" s="46"/>
      <c r="QP8" s="46"/>
      <c r="QQ8" s="46"/>
      <c r="QR8" s="46"/>
      <c r="QS8" s="46"/>
      <c r="QT8" s="46"/>
      <c r="QU8" s="46"/>
      <c r="QV8" s="46"/>
      <c r="QW8" s="46"/>
      <c r="QX8" s="46"/>
      <c r="QY8" s="46"/>
      <c r="QZ8" s="46"/>
      <c r="RA8" s="46"/>
      <c r="RB8" s="46"/>
      <c r="RC8" s="46"/>
      <c r="RD8" s="46"/>
      <c r="RE8" s="46"/>
      <c r="RF8" s="46"/>
      <c r="RG8" s="46"/>
      <c r="RH8" s="46"/>
      <c r="RI8" s="46"/>
      <c r="RJ8" s="46"/>
      <c r="RK8" s="46"/>
      <c r="RL8" s="46"/>
      <c r="RM8" s="46"/>
      <c r="RN8" s="46"/>
      <c r="RO8" s="46"/>
      <c r="RP8" s="46"/>
      <c r="RQ8" s="46"/>
      <c r="RR8" s="46"/>
      <c r="RS8" s="46"/>
      <c r="RT8" s="46"/>
      <c r="RU8" s="46"/>
      <c r="RV8" s="46"/>
      <c r="RW8" s="46"/>
      <c r="RX8" s="46"/>
      <c r="RY8" s="46"/>
      <c r="RZ8" s="46"/>
      <c r="SA8" s="46"/>
      <c r="SB8" s="46"/>
      <c r="SC8" s="46"/>
      <c r="SD8" s="46"/>
      <c r="SE8" s="46"/>
      <c r="SF8" s="46"/>
      <c r="SG8" s="46"/>
      <c r="SH8" s="46"/>
      <c r="SI8" s="46"/>
      <c r="SJ8" s="46"/>
      <c r="SK8" s="46"/>
      <c r="SL8" s="46"/>
      <c r="SM8" s="46"/>
      <c r="SN8" s="46"/>
      <c r="SO8" s="46"/>
      <c r="SP8" s="46"/>
      <c r="SQ8" s="46"/>
      <c r="SR8" s="46"/>
      <c r="SS8" s="46"/>
      <c r="ST8" s="46"/>
      <c r="SU8" s="46"/>
      <c r="SV8" s="46"/>
      <c r="SW8" s="46"/>
      <c r="SX8" s="46"/>
      <c r="SY8" s="46"/>
      <c r="SZ8" s="46"/>
      <c r="TA8" s="46"/>
      <c r="TB8" s="46"/>
      <c r="TC8" s="46"/>
      <c r="TD8" s="46"/>
      <c r="TE8" s="46"/>
      <c r="TF8" s="46"/>
      <c r="TG8" s="46"/>
      <c r="TH8" s="46"/>
      <c r="TI8" s="46"/>
      <c r="TJ8" s="46"/>
      <c r="TK8" s="46"/>
      <c r="TL8" s="46"/>
      <c r="TM8" s="46"/>
      <c r="TN8" s="46"/>
      <c r="TO8" s="46"/>
      <c r="TP8" s="46"/>
      <c r="TQ8" s="46"/>
      <c r="TR8" s="46"/>
      <c r="TS8" s="46"/>
      <c r="TT8" s="46"/>
      <c r="TU8" s="46"/>
      <c r="TV8" s="46"/>
      <c r="TW8" s="46"/>
      <c r="TX8" s="46"/>
      <c r="TY8" s="46"/>
      <c r="TZ8" s="46"/>
      <c r="UA8" s="46"/>
      <c r="UB8" s="46"/>
      <c r="UC8" s="46"/>
      <c r="UD8" s="46"/>
      <c r="UE8" s="46"/>
      <c r="UF8" s="46"/>
      <c r="UG8" s="46"/>
      <c r="UH8" s="46"/>
      <c r="UI8" s="46"/>
      <c r="UJ8" s="46"/>
      <c r="UK8" s="46"/>
      <c r="UL8" s="46"/>
      <c r="UM8" s="46"/>
      <c r="UN8" s="46"/>
      <c r="UO8" s="46"/>
      <c r="UP8" s="46"/>
      <c r="UQ8" s="46"/>
      <c r="UR8" s="46"/>
      <c r="US8" s="46"/>
      <c r="UT8" s="46"/>
      <c r="UU8" s="46"/>
      <c r="UV8" s="46"/>
      <c r="UW8" s="46"/>
      <c r="UX8" s="46"/>
      <c r="UY8" s="46"/>
      <c r="UZ8" s="46"/>
      <c r="VA8" s="46"/>
      <c r="VB8" s="46"/>
      <c r="VC8" s="46"/>
      <c r="VD8" s="46"/>
      <c r="VE8" s="46"/>
      <c r="VF8" s="46"/>
      <c r="VG8" s="46"/>
      <c r="VH8" s="46"/>
      <c r="VI8" s="46"/>
      <c r="VJ8" s="46"/>
      <c r="VK8" s="46"/>
      <c r="VL8" s="46"/>
      <c r="VM8" s="46"/>
      <c r="VN8" s="46"/>
      <c r="VO8" s="46"/>
      <c r="VP8" s="46"/>
      <c r="VQ8" s="46"/>
      <c r="VR8" s="46"/>
      <c r="VS8" s="46"/>
      <c r="VT8" s="46"/>
      <c r="VU8" s="46"/>
      <c r="VV8" s="46"/>
      <c r="VW8" s="46"/>
      <c r="VX8" s="46"/>
      <c r="VY8" s="46"/>
      <c r="VZ8" s="46"/>
      <c r="WA8" s="46"/>
      <c r="WB8" s="46"/>
      <c r="WC8" s="46"/>
      <c r="WD8" s="46"/>
      <c r="WE8" s="46"/>
      <c r="WF8" s="46"/>
      <c r="WG8" s="46"/>
      <c r="WH8" s="46"/>
      <c r="WI8" s="46"/>
      <c r="WJ8" s="46"/>
      <c r="WK8" s="46"/>
      <c r="WL8" s="46"/>
      <c r="WM8" s="46"/>
      <c r="WN8" s="46"/>
      <c r="WO8" s="46"/>
      <c r="WP8" s="46"/>
      <c r="WQ8" s="46"/>
      <c r="WR8" s="46"/>
      <c r="WS8" s="46"/>
      <c r="WT8" s="46"/>
      <c r="WU8" s="46"/>
      <c r="WV8" s="46"/>
      <c r="WW8" s="46"/>
      <c r="WX8" s="46"/>
      <c r="WY8" s="46"/>
      <c r="WZ8" s="46"/>
      <c r="XA8" s="46"/>
      <c r="XB8" s="46"/>
      <c r="XC8" s="46"/>
      <c r="XD8" s="46"/>
      <c r="XE8" s="46"/>
      <c r="XF8" s="46"/>
      <c r="XG8" s="46"/>
      <c r="XH8" s="46"/>
      <c r="XI8" s="46"/>
      <c r="XJ8" s="46"/>
      <c r="XK8" s="46"/>
      <c r="XL8" s="46"/>
      <c r="XM8" s="46"/>
      <c r="XN8" s="46"/>
      <c r="XO8" s="46"/>
      <c r="XP8" s="46"/>
      <c r="XQ8" s="46"/>
      <c r="XR8" s="46"/>
      <c r="XS8" s="46"/>
      <c r="XT8" s="46"/>
      <c r="XU8" s="46"/>
      <c r="XV8" s="46"/>
      <c r="XW8" s="46"/>
      <c r="XX8" s="46"/>
      <c r="XY8" s="46"/>
      <c r="XZ8" s="46"/>
      <c r="YA8" s="46"/>
      <c r="YB8" s="46"/>
      <c r="YC8" s="46"/>
      <c r="YD8" s="46"/>
      <c r="YE8" s="46"/>
      <c r="YF8" s="46"/>
      <c r="YG8" s="46"/>
      <c r="YH8" s="46"/>
      <c r="YI8" s="46"/>
      <c r="YJ8" s="46"/>
      <c r="YK8" s="46"/>
      <c r="YL8" s="46"/>
      <c r="YM8" s="46"/>
      <c r="YN8" s="46"/>
      <c r="YO8" s="46"/>
      <c r="YP8" s="46"/>
      <c r="YQ8" s="46"/>
      <c r="YR8" s="46"/>
      <c r="YS8" s="46"/>
      <c r="YT8" s="46"/>
      <c r="YU8" s="46"/>
      <c r="YV8" s="46"/>
      <c r="YW8" s="46"/>
      <c r="YX8" s="46"/>
      <c r="YY8" s="46"/>
      <c r="YZ8" s="46"/>
      <c r="ZA8" s="46"/>
      <c r="ZB8" s="46"/>
      <c r="ZC8" s="46"/>
      <c r="ZD8" s="46"/>
      <c r="ZE8" s="46"/>
      <c r="ZF8" s="46"/>
      <c r="ZG8" s="46"/>
      <c r="ZH8" s="46"/>
      <c r="ZI8" s="46"/>
      <c r="ZJ8" s="46"/>
      <c r="ZK8" s="46"/>
      <c r="ZL8" s="46"/>
      <c r="ZM8" s="46"/>
      <c r="ZN8" s="46"/>
      <c r="ZO8" s="46"/>
      <c r="ZP8" s="46"/>
      <c r="ZQ8" s="46"/>
      <c r="ZR8" s="46"/>
      <c r="ZS8" s="46"/>
      <c r="ZT8" s="46"/>
      <c r="ZU8" s="46"/>
      <c r="ZV8" s="46"/>
      <c r="ZW8" s="46"/>
      <c r="ZX8" s="46"/>
      <c r="ZY8" s="46"/>
      <c r="ZZ8" s="46"/>
    </row>
    <row r="9" spans="1:702">
      <c r="C9">
        <v>3</v>
      </c>
      <c r="E9" t="s">
        <v>135</v>
      </c>
      <c r="F9" t="s">
        <v>33</v>
      </c>
      <c r="N9">
        <v>4</v>
      </c>
      <c r="O9"/>
      <c r="P9" t="s">
        <v>135</v>
      </c>
      <c r="Q9" t="s">
        <v>145</v>
      </c>
      <c r="R9" t="s">
        <v>147</v>
      </c>
      <c r="AF9" s="46" t="s">
        <v>642</v>
      </c>
    </row>
    <row r="10" spans="1:702" ht="13.5" thickBot="1">
      <c r="T10" s="46" t="s">
        <v>128</v>
      </c>
      <c r="W10" s="46" t="s">
        <v>129</v>
      </c>
      <c r="AH10" s="46" t="s">
        <v>72</v>
      </c>
      <c r="AJ10" s="46" t="s">
        <v>617</v>
      </c>
    </row>
    <row r="11" spans="1:702">
      <c r="D11" t="s">
        <v>152</v>
      </c>
      <c r="E11" t="s">
        <v>614</v>
      </c>
      <c r="F11" t="s">
        <v>66</v>
      </c>
      <c r="G11" t="s">
        <v>67</v>
      </c>
      <c r="H11" t="s">
        <v>622</v>
      </c>
      <c r="I11" t="s">
        <v>132</v>
      </c>
      <c r="J11" t="s">
        <v>148</v>
      </c>
      <c r="K11" t="s">
        <v>150</v>
      </c>
      <c r="L11" t="s">
        <v>134</v>
      </c>
      <c r="M11" t="s">
        <v>76</v>
      </c>
      <c r="N11" t="s">
        <v>343</v>
      </c>
      <c r="O11" t="s">
        <v>517</v>
      </c>
      <c r="R11" s="63" t="s">
        <v>60</v>
      </c>
      <c r="S11" s="60"/>
      <c r="T11" s="49" t="s">
        <v>61</v>
      </c>
      <c r="U11" s="50" t="s">
        <v>62</v>
      </c>
      <c r="V11" s="51" t="s">
        <v>63</v>
      </c>
      <c r="W11" s="50" t="s">
        <v>61</v>
      </c>
      <c r="X11" s="50" t="s">
        <v>62</v>
      </c>
      <c r="Y11" s="50" t="s">
        <v>63</v>
      </c>
      <c r="Z11" s="57" t="s">
        <v>94</v>
      </c>
      <c r="AA11" s="51" t="s">
        <v>130</v>
      </c>
      <c r="AF11" s="46" t="s">
        <v>614</v>
      </c>
      <c r="AH11" s="46">
        <v>2</v>
      </c>
      <c r="AJ11" s="46">
        <v>26</v>
      </c>
      <c r="AK11" s="46">
        <v>41</v>
      </c>
      <c r="AL11" s="46">
        <v>175</v>
      </c>
      <c r="AM11" s="46">
        <v>190</v>
      </c>
    </row>
    <row r="12" spans="1:702">
      <c r="D12" t="s">
        <v>631</v>
      </c>
      <c r="E12">
        <v>2</v>
      </c>
      <c r="F12">
        <v>5</v>
      </c>
      <c r="G12">
        <v>25</v>
      </c>
      <c r="H12">
        <v>0</v>
      </c>
      <c r="I12" t="s">
        <v>62</v>
      </c>
      <c r="J12" t="s">
        <v>624</v>
      </c>
      <c r="K12" t="s">
        <v>624</v>
      </c>
      <c r="L12" t="s">
        <v>624</v>
      </c>
      <c r="N12">
        <v>1.1000000000000001</v>
      </c>
      <c r="O12">
        <v>7.6</v>
      </c>
      <c r="R12" s="64" t="s">
        <v>65</v>
      </c>
      <c r="S12" s="61"/>
      <c r="T12" s="52"/>
      <c r="U12" s="48"/>
      <c r="V12" s="53"/>
      <c r="W12" s="48">
        <v>1.1000000000000001</v>
      </c>
      <c r="X12" s="48">
        <v>1.1000000000000001</v>
      </c>
      <c r="Y12" s="48">
        <v>16.5</v>
      </c>
      <c r="Z12" s="58" t="s">
        <v>616</v>
      </c>
      <c r="AA12" s="53"/>
      <c r="AF12" s="46" t="s">
        <v>66</v>
      </c>
      <c r="AH12" s="46">
        <v>5</v>
      </c>
      <c r="AJ12" s="46">
        <v>5</v>
      </c>
      <c r="AK12" s="46">
        <v>4.5</v>
      </c>
      <c r="AL12" s="46">
        <v>4.5</v>
      </c>
      <c r="AM12" s="46">
        <v>5.5</v>
      </c>
    </row>
    <row r="13" spans="1:702" ht="13.5" thickBot="1">
      <c r="E13">
        <v>3</v>
      </c>
      <c r="F13">
        <v>4.5</v>
      </c>
      <c r="G13">
        <v>25</v>
      </c>
      <c r="H13">
        <v>0</v>
      </c>
      <c r="I13" t="s">
        <v>62</v>
      </c>
      <c r="J13" t="s">
        <v>624</v>
      </c>
      <c r="K13" t="s">
        <v>624</v>
      </c>
      <c r="L13" t="s">
        <v>624</v>
      </c>
      <c r="N13">
        <v>1.2</v>
      </c>
      <c r="O13">
        <v>7.6</v>
      </c>
      <c r="R13" s="65" t="s">
        <v>615</v>
      </c>
      <c r="S13" s="62"/>
      <c r="T13" s="54"/>
      <c r="U13" s="55"/>
      <c r="V13" s="56"/>
      <c r="W13" s="55">
        <v>-25</v>
      </c>
      <c r="X13" s="55">
        <v>7.6</v>
      </c>
      <c r="Y13" s="55">
        <v>7.8</v>
      </c>
      <c r="Z13" s="59" t="s">
        <v>616</v>
      </c>
      <c r="AA13" s="56"/>
      <c r="AF13" s="46" t="s">
        <v>67</v>
      </c>
      <c r="AH13" s="46">
        <v>25</v>
      </c>
      <c r="AJ13" s="46">
        <v>150</v>
      </c>
      <c r="AK13" s="46">
        <v>-40</v>
      </c>
      <c r="AL13" s="46">
        <v>150</v>
      </c>
      <c r="AM13" s="46">
        <v>-40</v>
      </c>
    </row>
    <row r="14" spans="1:702">
      <c r="E14">
        <v>4</v>
      </c>
      <c r="F14">
        <v>5.5</v>
      </c>
      <c r="G14">
        <v>25</v>
      </c>
      <c r="H14">
        <v>0</v>
      </c>
      <c r="I14" t="s">
        <v>62</v>
      </c>
      <c r="J14" t="s">
        <v>624</v>
      </c>
      <c r="K14" t="s">
        <v>624</v>
      </c>
      <c r="L14" t="s">
        <v>624</v>
      </c>
      <c r="N14">
        <v>1.3</v>
      </c>
      <c r="O14">
        <v>7.4</v>
      </c>
      <c r="AF14" s="46" t="s">
        <v>622</v>
      </c>
      <c r="AH14" s="46">
        <v>0</v>
      </c>
      <c r="AJ14" s="46">
        <v>2</v>
      </c>
      <c r="AK14" s="46">
        <v>0</v>
      </c>
      <c r="AL14" s="46">
        <v>0</v>
      </c>
      <c r="AM14" s="46">
        <v>1</v>
      </c>
    </row>
    <row r="15" spans="1:702" ht="13.5" thickBot="1">
      <c r="E15">
        <v>5</v>
      </c>
      <c r="F15">
        <v>5</v>
      </c>
      <c r="G15">
        <v>-40</v>
      </c>
      <c r="H15">
        <v>0</v>
      </c>
      <c r="I15" t="s">
        <v>62</v>
      </c>
      <c r="J15" t="s">
        <v>624</v>
      </c>
      <c r="K15" t="s">
        <v>624</v>
      </c>
      <c r="L15" t="s">
        <v>624</v>
      </c>
      <c r="N15">
        <v>1.4</v>
      </c>
      <c r="O15">
        <v>7.2</v>
      </c>
      <c r="R15" s="46" t="s">
        <v>643</v>
      </c>
      <c r="AF15" s="46" t="s">
        <v>132</v>
      </c>
      <c r="AH15" s="46" t="s">
        <v>62</v>
      </c>
      <c r="AJ15" s="46" t="s">
        <v>62</v>
      </c>
      <c r="AK15" s="46" t="s">
        <v>138</v>
      </c>
      <c r="AL15" s="46" t="s">
        <v>136</v>
      </c>
      <c r="AM15" s="46" t="s">
        <v>138</v>
      </c>
    </row>
    <row r="16" spans="1:702">
      <c r="E16">
        <v>6</v>
      </c>
      <c r="F16">
        <v>4.5</v>
      </c>
      <c r="G16">
        <v>-40</v>
      </c>
      <c r="H16">
        <v>0</v>
      </c>
      <c r="I16" t="s">
        <v>62</v>
      </c>
      <c r="J16" t="s">
        <v>624</v>
      </c>
      <c r="K16" t="s">
        <v>624</v>
      </c>
      <c r="L16" t="s">
        <v>624</v>
      </c>
      <c r="N16">
        <v>1.5</v>
      </c>
      <c r="O16">
        <v>7</v>
      </c>
      <c r="R16" s="49" t="s">
        <v>65</v>
      </c>
      <c r="S16" s="50"/>
      <c r="T16" s="49"/>
      <c r="U16" s="50"/>
      <c r="V16" s="51"/>
      <c r="W16" s="50">
        <v>1.5</v>
      </c>
      <c r="X16" s="50">
        <v>1.5</v>
      </c>
      <c r="Y16" s="50">
        <v>16.2</v>
      </c>
      <c r="Z16" s="57" t="s">
        <v>616</v>
      </c>
      <c r="AA16" s="51"/>
      <c r="AF16" s="46" t="s">
        <v>148</v>
      </c>
      <c r="AH16" s="46" t="s">
        <v>62</v>
      </c>
      <c r="AJ16" s="46" t="s">
        <v>62</v>
      </c>
      <c r="AK16" s="46" t="s">
        <v>136</v>
      </c>
      <c r="AL16" s="46" t="s">
        <v>142</v>
      </c>
      <c r="AM16" s="46" t="s">
        <v>142</v>
      </c>
    </row>
    <row r="17" spans="5:39" ht="13.5" thickBot="1">
      <c r="E17">
        <v>7</v>
      </c>
      <c r="F17">
        <v>5.5</v>
      </c>
      <c r="G17">
        <v>-40</v>
      </c>
      <c r="H17">
        <v>0</v>
      </c>
      <c r="I17" t="s">
        <v>62</v>
      </c>
      <c r="J17" t="s">
        <v>624</v>
      </c>
      <c r="K17" t="s">
        <v>624</v>
      </c>
      <c r="L17" t="s">
        <v>624</v>
      </c>
      <c r="N17">
        <v>1.6</v>
      </c>
      <c r="O17">
        <v>6.8</v>
      </c>
      <c r="R17" s="54" t="s">
        <v>615</v>
      </c>
      <c r="S17" s="55"/>
      <c r="T17" s="54"/>
      <c r="U17" s="55"/>
      <c r="V17" s="56"/>
      <c r="W17" s="55">
        <v>-25</v>
      </c>
      <c r="X17" s="55">
        <v>7</v>
      </c>
      <c r="Y17" s="55">
        <v>7</v>
      </c>
      <c r="Z17" s="59" t="s">
        <v>616</v>
      </c>
      <c r="AA17" s="56"/>
      <c r="AF17" s="46" t="s">
        <v>150</v>
      </c>
      <c r="AH17" s="46" t="s">
        <v>62</v>
      </c>
      <c r="AJ17" s="46" t="s">
        <v>62</v>
      </c>
      <c r="AK17" s="46" t="s">
        <v>138</v>
      </c>
      <c r="AL17" s="46" t="s">
        <v>136</v>
      </c>
      <c r="AM17" s="46" t="s">
        <v>138</v>
      </c>
    </row>
    <row r="18" spans="5:39">
      <c r="E18">
        <v>8</v>
      </c>
      <c r="F18">
        <v>5</v>
      </c>
      <c r="G18">
        <v>150</v>
      </c>
      <c r="H18">
        <v>0</v>
      </c>
      <c r="I18" t="s">
        <v>62</v>
      </c>
      <c r="J18" t="s">
        <v>624</v>
      </c>
      <c r="K18" t="s">
        <v>624</v>
      </c>
      <c r="L18" t="s">
        <v>624</v>
      </c>
      <c r="N18">
        <v>1.7</v>
      </c>
      <c r="O18">
        <v>6.6</v>
      </c>
      <c r="AF18" s="46" t="s">
        <v>134</v>
      </c>
      <c r="AH18" s="46" t="s">
        <v>62</v>
      </c>
      <c r="AJ18" s="46" t="s">
        <v>62</v>
      </c>
      <c r="AK18" s="46" t="s">
        <v>144</v>
      </c>
      <c r="AL18" s="46" t="s">
        <v>146</v>
      </c>
      <c r="AM18" s="46" t="s">
        <v>146</v>
      </c>
    </row>
    <row r="19" spans="5:39" ht="13.5" thickBot="1">
      <c r="E19">
        <v>9</v>
      </c>
      <c r="F19">
        <v>4.5</v>
      </c>
      <c r="G19">
        <v>150</v>
      </c>
      <c r="H19">
        <v>0</v>
      </c>
      <c r="I19" t="s">
        <v>62</v>
      </c>
      <c r="J19" t="s">
        <v>624</v>
      </c>
      <c r="K19" t="s">
        <v>624</v>
      </c>
      <c r="L19" t="s">
        <v>624</v>
      </c>
      <c r="N19">
        <v>1.8</v>
      </c>
      <c r="O19">
        <v>6.4</v>
      </c>
      <c r="R19" s="46" t="s">
        <v>644</v>
      </c>
    </row>
    <row r="20" spans="5:39">
      <c r="E20">
        <v>10</v>
      </c>
      <c r="F20">
        <v>5.5</v>
      </c>
      <c r="G20">
        <v>150</v>
      </c>
      <c r="H20">
        <v>0</v>
      </c>
      <c r="I20" t="s">
        <v>62</v>
      </c>
      <c r="J20" t="s">
        <v>624</v>
      </c>
      <c r="K20" t="s">
        <v>624</v>
      </c>
      <c r="L20" t="s">
        <v>624</v>
      </c>
      <c r="N20">
        <v>1.9</v>
      </c>
      <c r="O20">
        <v>6.2</v>
      </c>
      <c r="R20" s="49" t="s">
        <v>65</v>
      </c>
      <c r="S20" s="50"/>
      <c r="T20" s="49"/>
      <c r="U20" s="50"/>
      <c r="V20" s="51"/>
      <c r="W20" s="50">
        <v>1.6</v>
      </c>
      <c r="X20" s="50">
        <v>1.6</v>
      </c>
      <c r="Y20" s="50">
        <v>16.3</v>
      </c>
      <c r="Z20" s="57" t="s">
        <v>616</v>
      </c>
      <c r="AA20" s="51"/>
      <c r="AF20" s="46" t="s">
        <v>65</v>
      </c>
      <c r="AH20" s="46">
        <v>1.1000000000000001</v>
      </c>
      <c r="AJ20" s="46">
        <v>3.5</v>
      </c>
      <c r="AK20" s="46">
        <v>5</v>
      </c>
      <c r="AL20" s="46">
        <v>3.5</v>
      </c>
      <c r="AM20" s="46">
        <v>5</v>
      </c>
    </row>
    <row r="21" spans="5:39" ht="13.5" thickBot="1">
      <c r="E21">
        <v>11</v>
      </c>
      <c r="F21">
        <v>5</v>
      </c>
      <c r="G21">
        <v>25</v>
      </c>
      <c r="H21">
        <v>1</v>
      </c>
      <c r="I21" t="s">
        <v>62</v>
      </c>
      <c r="J21" t="s">
        <v>624</v>
      </c>
      <c r="K21" t="s">
        <v>624</v>
      </c>
      <c r="L21" t="s">
        <v>624</v>
      </c>
      <c r="N21">
        <v>2</v>
      </c>
      <c r="O21">
        <v>6</v>
      </c>
      <c r="R21" s="54" t="s">
        <v>615</v>
      </c>
      <c r="S21" s="55"/>
      <c r="T21" s="54"/>
      <c r="U21" s="55"/>
      <c r="V21" s="56"/>
      <c r="W21" s="55">
        <v>-25</v>
      </c>
      <c r="X21" s="55">
        <v>6.8</v>
      </c>
      <c r="Y21" s="55">
        <v>6.8</v>
      </c>
      <c r="Z21" s="59" t="s">
        <v>616</v>
      </c>
      <c r="AA21" s="56"/>
      <c r="AF21" s="46" t="s">
        <v>615</v>
      </c>
      <c r="AH21" s="46">
        <v>7.6</v>
      </c>
      <c r="AJ21" s="46">
        <v>-25</v>
      </c>
      <c r="AK21" s="46">
        <v>-25</v>
      </c>
      <c r="AL21" s="46">
        <v>-25</v>
      </c>
      <c r="AM21" s="46">
        <v>-25</v>
      </c>
    </row>
    <row r="22" spans="5:39">
      <c r="E22">
        <v>12</v>
      </c>
      <c r="F22">
        <v>4.5</v>
      </c>
      <c r="G22">
        <v>25</v>
      </c>
      <c r="H22">
        <v>1</v>
      </c>
      <c r="I22" t="s">
        <v>62</v>
      </c>
      <c r="J22" t="s">
        <v>624</v>
      </c>
      <c r="K22" t="s">
        <v>624</v>
      </c>
      <c r="L22" t="s">
        <v>624</v>
      </c>
      <c r="N22">
        <v>2.1</v>
      </c>
      <c r="O22">
        <v>5.8</v>
      </c>
    </row>
    <row r="23" spans="5:39" ht="13.5" thickBot="1">
      <c r="E23">
        <v>13</v>
      </c>
      <c r="F23">
        <v>5.5</v>
      </c>
      <c r="G23">
        <v>25</v>
      </c>
      <c r="H23">
        <v>1</v>
      </c>
      <c r="I23" t="s">
        <v>62</v>
      </c>
      <c r="J23" t="s">
        <v>624</v>
      </c>
      <c r="K23" t="s">
        <v>624</v>
      </c>
      <c r="L23" t="s">
        <v>624</v>
      </c>
      <c r="N23">
        <v>2.2000000000000002</v>
      </c>
      <c r="O23">
        <v>5.6</v>
      </c>
      <c r="R23" s="46" t="s">
        <v>645</v>
      </c>
    </row>
    <row r="24" spans="5:39">
      <c r="E24">
        <v>14</v>
      </c>
      <c r="F24">
        <v>5</v>
      </c>
      <c r="G24">
        <v>-40</v>
      </c>
      <c r="H24">
        <v>1</v>
      </c>
      <c r="I24" t="s">
        <v>62</v>
      </c>
      <c r="J24" t="s">
        <v>624</v>
      </c>
      <c r="K24" t="s">
        <v>624</v>
      </c>
      <c r="L24" t="s">
        <v>624</v>
      </c>
      <c r="N24">
        <v>16.5</v>
      </c>
      <c r="O24">
        <v>5.4</v>
      </c>
      <c r="R24" s="49" t="s">
        <v>65</v>
      </c>
      <c r="S24" s="50"/>
      <c r="T24" s="49"/>
      <c r="U24" s="50"/>
      <c r="V24" s="51"/>
      <c r="W24" s="50">
        <v>1.9</v>
      </c>
      <c r="X24" s="50">
        <v>1.9</v>
      </c>
      <c r="Y24" s="50">
        <v>16.5</v>
      </c>
      <c r="Z24" s="57" t="s">
        <v>616</v>
      </c>
      <c r="AA24" s="51"/>
      <c r="AF24" s="46" t="s">
        <v>642</v>
      </c>
    </row>
    <row r="25" spans="5:39" ht="13.5" thickBot="1">
      <c r="E25">
        <v>15</v>
      </c>
      <c r="F25">
        <v>4.5</v>
      </c>
      <c r="G25">
        <v>-40</v>
      </c>
      <c r="H25">
        <v>1</v>
      </c>
      <c r="I25" t="s">
        <v>62</v>
      </c>
      <c r="J25" t="s">
        <v>624</v>
      </c>
      <c r="K25" t="s">
        <v>624</v>
      </c>
      <c r="L25" t="s">
        <v>624</v>
      </c>
      <c r="N25">
        <v>2.4</v>
      </c>
      <c r="O25">
        <v>5.2</v>
      </c>
      <c r="R25" s="54" t="s">
        <v>615</v>
      </c>
      <c r="S25" s="55"/>
      <c r="T25" s="54"/>
      <c r="U25" s="55"/>
      <c r="V25" s="56"/>
      <c r="W25" s="55">
        <v>-23</v>
      </c>
      <c r="X25" s="55">
        <v>6.2</v>
      </c>
      <c r="Y25" s="55">
        <v>7.8</v>
      </c>
      <c r="Z25" s="59" t="s">
        <v>616</v>
      </c>
      <c r="AA25" s="56"/>
      <c r="AH25" s="46" t="s">
        <v>74</v>
      </c>
      <c r="AL25" s="46" t="s">
        <v>618</v>
      </c>
    </row>
    <row r="26" spans="5:39">
      <c r="E26">
        <v>16</v>
      </c>
      <c r="F26">
        <v>5.5</v>
      </c>
      <c r="G26">
        <v>-40</v>
      </c>
      <c r="H26">
        <v>1</v>
      </c>
      <c r="I26" t="s">
        <v>62</v>
      </c>
      <c r="J26" t="s">
        <v>624</v>
      </c>
      <c r="K26" t="s">
        <v>624</v>
      </c>
      <c r="L26" t="s">
        <v>624</v>
      </c>
      <c r="N26">
        <v>2.5</v>
      </c>
      <c r="O26">
        <v>5</v>
      </c>
      <c r="AF26" s="46" t="s">
        <v>614</v>
      </c>
      <c r="AH26" s="46">
        <v>14</v>
      </c>
      <c r="AI26" s="46">
        <v>156</v>
      </c>
      <c r="AJ26" s="46">
        <v>163</v>
      </c>
      <c r="AL26" s="46">
        <v>39</v>
      </c>
      <c r="AM26" s="46">
        <v>188</v>
      </c>
    </row>
    <row r="27" spans="5:39">
      <c r="E27">
        <v>17</v>
      </c>
      <c r="F27">
        <v>5</v>
      </c>
      <c r="G27">
        <v>150</v>
      </c>
      <c r="H27">
        <v>1</v>
      </c>
      <c r="I27" t="s">
        <v>62</v>
      </c>
      <c r="J27" t="s">
        <v>624</v>
      </c>
      <c r="K27" t="s">
        <v>624</v>
      </c>
      <c r="L27" t="s">
        <v>624</v>
      </c>
      <c r="N27">
        <v>2.6</v>
      </c>
      <c r="O27">
        <v>4.8</v>
      </c>
      <c r="AF27" s="46" t="s">
        <v>66</v>
      </c>
      <c r="AH27" s="46">
        <v>5</v>
      </c>
      <c r="AI27" s="46">
        <v>5.5</v>
      </c>
      <c r="AJ27" s="46">
        <v>4.5</v>
      </c>
      <c r="AL27" s="46">
        <v>4.5</v>
      </c>
      <c r="AM27" s="46">
        <v>5.5</v>
      </c>
    </row>
    <row r="28" spans="5:39">
      <c r="E28">
        <v>18</v>
      </c>
      <c r="F28">
        <v>4.5</v>
      </c>
      <c r="G28">
        <v>150</v>
      </c>
      <c r="H28">
        <v>1</v>
      </c>
      <c r="I28" t="s">
        <v>62</v>
      </c>
      <c r="J28" t="s">
        <v>624</v>
      </c>
      <c r="K28" t="s">
        <v>624</v>
      </c>
      <c r="L28" t="s">
        <v>624</v>
      </c>
      <c r="N28">
        <v>2.7</v>
      </c>
      <c r="O28">
        <v>4.5999999999999996</v>
      </c>
      <c r="AF28" s="46" t="s">
        <v>67</v>
      </c>
      <c r="AH28" s="46">
        <v>-40</v>
      </c>
      <c r="AI28" s="46">
        <v>150</v>
      </c>
      <c r="AJ28" s="46">
        <v>150</v>
      </c>
      <c r="AL28" s="46">
        <v>150</v>
      </c>
      <c r="AM28" s="46">
        <v>150</v>
      </c>
    </row>
    <row r="29" spans="5:39">
      <c r="E29">
        <v>19</v>
      </c>
      <c r="F29">
        <v>5.5</v>
      </c>
      <c r="G29">
        <v>150</v>
      </c>
      <c r="H29">
        <v>1</v>
      </c>
      <c r="I29" t="s">
        <v>62</v>
      </c>
      <c r="J29" t="s">
        <v>624</v>
      </c>
      <c r="K29" t="s">
        <v>624</v>
      </c>
      <c r="L29" t="s">
        <v>624</v>
      </c>
      <c r="N29">
        <v>2.8</v>
      </c>
      <c r="O29">
        <v>4.4000000000000004</v>
      </c>
      <c r="AF29" s="46" t="s">
        <v>622</v>
      </c>
      <c r="AH29" s="46">
        <v>1</v>
      </c>
      <c r="AI29" s="46">
        <v>1</v>
      </c>
      <c r="AJ29" s="46">
        <v>0</v>
      </c>
      <c r="AL29" s="46">
        <v>2</v>
      </c>
      <c r="AM29" s="46">
        <v>0</v>
      </c>
    </row>
    <row r="30" spans="5:39">
      <c r="E30">
        <v>20</v>
      </c>
      <c r="F30">
        <v>5</v>
      </c>
      <c r="G30">
        <v>25</v>
      </c>
      <c r="H30">
        <v>2</v>
      </c>
      <c r="I30" t="s">
        <v>62</v>
      </c>
      <c r="J30" t="s">
        <v>624</v>
      </c>
      <c r="K30" t="s">
        <v>624</v>
      </c>
      <c r="L30" t="s">
        <v>624</v>
      </c>
      <c r="N30">
        <v>2.9</v>
      </c>
      <c r="O30">
        <v>4.2</v>
      </c>
      <c r="AF30" s="46" t="s">
        <v>132</v>
      </c>
      <c r="AH30" s="46" t="s">
        <v>62</v>
      </c>
      <c r="AI30" s="46" t="s">
        <v>140</v>
      </c>
      <c r="AJ30" s="46" t="s">
        <v>142</v>
      </c>
      <c r="AL30" s="46" t="s">
        <v>136</v>
      </c>
      <c r="AM30" s="46" t="s">
        <v>138</v>
      </c>
    </row>
    <row r="31" spans="5:39">
      <c r="E31">
        <v>21</v>
      </c>
      <c r="F31">
        <v>4.5</v>
      </c>
      <c r="G31">
        <v>25</v>
      </c>
      <c r="H31">
        <v>2</v>
      </c>
      <c r="I31" t="s">
        <v>62</v>
      </c>
      <c r="J31" t="s">
        <v>624</v>
      </c>
      <c r="K31" t="s">
        <v>624</v>
      </c>
      <c r="L31" t="s">
        <v>624</v>
      </c>
      <c r="N31">
        <v>3</v>
      </c>
      <c r="O31">
        <v>4</v>
      </c>
      <c r="AF31" s="46" t="s">
        <v>148</v>
      </c>
      <c r="AH31" s="46" t="s">
        <v>62</v>
      </c>
      <c r="AI31" s="46" t="s">
        <v>140</v>
      </c>
      <c r="AJ31" s="46" t="s">
        <v>140</v>
      </c>
      <c r="AL31" s="46" t="s">
        <v>136</v>
      </c>
      <c r="AM31" s="46" t="s">
        <v>142</v>
      </c>
    </row>
    <row r="32" spans="5:39">
      <c r="E32">
        <v>22</v>
      </c>
      <c r="F32">
        <v>5.5</v>
      </c>
      <c r="G32">
        <v>25</v>
      </c>
      <c r="H32">
        <v>2</v>
      </c>
      <c r="I32" t="s">
        <v>62</v>
      </c>
      <c r="J32" t="s">
        <v>624</v>
      </c>
      <c r="K32" t="s">
        <v>624</v>
      </c>
      <c r="L32" t="s">
        <v>624</v>
      </c>
      <c r="N32">
        <v>3.1</v>
      </c>
      <c r="O32">
        <v>3.8</v>
      </c>
      <c r="AF32" s="46" t="s">
        <v>150</v>
      </c>
      <c r="AH32" s="46" t="s">
        <v>62</v>
      </c>
      <c r="AI32" s="46" t="s">
        <v>140</v>
      </c>
      <c r="AJ32" s="46" t="s">
        <v>142</v>
      </c>
      <c r="AL32" s="46" t="s">
        <v>136</v>
      </c>
      <c r="AM32" s="46" t="s">
        <v>138</v>
      </c>
    </row>
    <row r="33" spans="4:39">
      <c r="E33">
        <v>23</v>
      </c>
      <c r="F33">
        <v>5</v>
      </c>
      <c r="G33">
        <v>-40</v>
      </c>
      <c r="H33">
        <v>2</v>
      </c>
      <c r="I33" t="s">
        <v>62</v>
      </c>
      <c r="J33" t="s">
        <v>624</v>
      </c>
      <c r="K33" t="s">
        <v>624</v>
      </c>
      <c r="L33" t="s">
        <v>624</v>
      </c>
      <c r="N33">
        <v>3.2</v>
      </c>
      <c r="O33">
        <v>3.6</v>
      </c>
      <c r="AF33" s="46" t="s">
        <v>134</v>
      </c>
      <c r="AH33" s="46" t="s">
        <v>62</v>
      </c>
      <c r="AI33" s="46" t="s">
        <v>146</v>
      </c>
      <c r="AJ33" s="46" t="s">
        <v>146</v>
      </c>
      <c r="AL33" s="46" t="s">
        <v>144</v>
      </c>
      <c r="AM33" s="46" t="s">
        <v>146</v>
      </c>
    </row>
    <row r="34" spans="4:39">
      <c r="E34">
        <v>24</v>
      </c>
      <c r="F34">
        <v>4.5</v>
      </c>
      <c r="G34">
        <v>-40</v>
      </c>
      <c r="H34">
        <v>2</v>
      </c>
      <c r="I34" t="s">
        <v>62</v>
      </c>
      <c r="J34" t="s">
        <v>624</v>
      </c>
      <c r="K34" t="s">
        <v>624</v>
      </c>
      <c r="L34" t="s">
        <v>624</v>
      </c>
      <c r="N34">
        <v>3.3</v>
      </c>
      <c r="O34">
        <v>3.4</v>
      </c>
      <c r="AF34" s="46" t="s">
        <v>81</v>
      </c>
    </row>
    <row r="35" spans="4:39">
      <c r="E35">
        <v>25</v>
      </c>
      <c r="F35">
        <v>5.5</v>
      </c>
      <c r="G35">
        <v>-40</v>
      </c>
      <c r="H35">
        <v>2</v>
      </c>
      <c r="I35" t="s">
        <v>62</v>
      </c>
      <c r="J35" t="s">
        <v>624</v>
      </c>
      <c r="K35" t="s">
        <v>624</v>
      </c>
      <c r="L35" t="s">
        <v>624</v>
      </c>
      <c r="N35">
        <v>3.4</v>
      </c>
      <c r="O35">
        <v>3.2</v>
      </c>
      <c r="AF35" s="46" t="s">
        <v>65</v>
      </c>
      <c r="AH35" s="46">
        <v>16.5</v>
      </c>
      <c r="AI35" s="46">
        <v>16.5</v>
      </c>
      <c r="AJ35" s="46">
        <v>16.5</v>
      </c>
      <c r="AL35" s="46">
        <v>4.7999999999999901</v>
      </c>
      <c r="AM35" s="46">
        <v>4.7999999999999901</v>
      </c>
    </row>
    <row r="36" spans="4:39">
      <c r="E36">
        <v>26</v>
      </c>
      <c r="F36">
        <v>5</v>
      </c>
      <c r="G36">
        <v>150</v>
      </c>
      <c r="H36">
        <v>2</v>
      </c>
      <c r="I36" t="s">
        <v>62</v>
      </c>
      <c r="J36" t="s">
        <v>624</v>
      </c>
      <c r="K36" t="s">
        <v>624</v>
      </c>
      <c r="L36" t="s">
        <v>624</v>
      </c>
      <c r="N36">
        <v>3.5</v>
      </c>
      <c r="O36">
        <v>-25</v>
      </c>
      <c r="AF36" s="46" t="s">
        <v>615</v>
      </c>
      <c r="AH36" s="46">
        <v>5.4</v>
      </c>
      <c r="AI36" s="46">
        <v>-23</v>
      </c>
      <c r="AJ36" s="46">
        <v>5.4</v>
      </c>
      <c r="AL36" s="46">
        <v>7.8</v>
      </c>
      <c r="AM36" s="46">
        <v>7.8</v>
      </c>
    </row>
    <row r="37" spans="4:39">
      <c r="E37">
        <v>27</v>
      </c>
      <c r="F37">
        <v>4.5</v>
      </c>
      <c r="G37">
        <v>150</v>
      </c>
      <c r="H37">
        <v>2</v>
      </c>
      <c r="I37" t="s">
        <v>62</v>
      </c>
      <c r="J37" t="s">
        <v>624</v>
      </c>
      <c r="K37" t="s">
        <v>624</v>
      </c>
      <c r="L37" t="s">
        <v>624</v>
      </c>
      <c r="N37">
        <v>3.6</v>
      </c>
      <c r="O37">
        <v>2.8</v>
      </c>
    </row>
    <row r="38" spans="4:39">
      <c r="E38">
        <v>28</v>
      </c>
      <c r="F38">
        <v>5.5</v>
      </c>
      <c r="G38">
        <v>150</v>
      </c>
      <c r="H38">
        <v>2</v>
      </c>
      <c r="I38" t="s">
        <v>62</v>
      </c>
      <c r="J38" t="s">
        <v>624</v>
      </c>
      <c r="K38" t="s">
        <v>624</v>
      </c>
      <c r="L38" t="s">
        <v>624</v>
      </c>
      <c r="N38">
        <v>3.7</v>
      </c>
      <c r="O38">
        <v>2.6</v>
      </c>
    </row>
    <row r="39" spans="4:39">
      <c r="D39" s="46" t="s">
        <v>228</v>
      </c>
      <c r="E39" s="46">
        <v>29</v>
      </c>
      <c r="F39" s="46">
        <v>4.5</v>
      </c>
      <c r="G39" s="46">
        <v>-40</v>
      </c>
      <c r="H39" s="46">
        <v>0</v>
      </c>
      <c r="I39" s="46" t="s">
        <v>136</v>
      </c>
      <c r="J39" s="46" t="s">
        <v>136</v>
      </c>
      <c r="K39" s="46" t="s">
        <v>627</v>
      </c>
      <c r="L39" s="46" t="s">
        <v>625</v>
      </c>
      <c r="N39">
        <v>3.8</v>
      </c>
      <c r="O39">
        <v>2.4</v>
      </c>
      <c r="AF39" s="46" t="s">
        <v>639</v>
      </c>
    </row>
    <row r="40" spans="4:39">
      <c r="D40" s="46"/>
      <c r="E40" s="46">
        <v>30</v>
      </c>
      <c r="F40" s="46">
        <v>5.5</v>
      </c>
      <c r="G40" s="46">
        <v>-40</v>
      </c>
      <c r="H40" s="46">
        <v>0</v>
      </c>
      <c r="I40" s="46" t="s">
        <v>136</v>
      </c>
      <c r="J40" s="46" t="s">
        <v>136</v>
      </c>
      <c r="K40" s="46" t="s">
        <v>627</v>
      </c>
      <c r="L40" s="46" t="s">
        <v>625</v>
      </c>
      <c r="N40">
        <v>3.9</v>
      </c>
      <c r="O40">
        <v>2.2000000000000002</v>
      </c>
      <c r="AH40" s="46" t="s">
        <v>72</v>
      </c>
      <c r="AJ40" s="46" t="s">
        <v>617</v>
      </c>
    </row>
    <row r="41" spans="4:39">
      <c r="D41" s="46"/>
      <c r="E41" s="46">
        <v>31</v>
      </c>
      <c r="F41" s="46">
        <v>4.5</v>
      </c>
      <c r="G41" s="46">
        <v>150</v>
      </c>
      <c r="H41" s="46">
        <v>0</v>
      </c>
      <c r="I41" s="46" t="s">
        <v>136</v>
      </c>
      <c r="J41" s="46" t="s">
        <v>136</v>
      </c>
      <c r="K41" s="46" t="s">
        <v>627</v>
      </c>
      <c r="L41" s="46" t="s">
        <v>625</v>
      </c>
      <c r="N41">
        <v>4</v>
      </c>
      <c r="O41">
        <v>1.99999999999999</v>
      </c>
      <c r="AF41" s="46" t="s">
        <v>614</v>
      </c>
      <c r="AH41" s="46">
        <v>6</v>
      </c>
      <c r="AJ41" s="46">
        <v>41</v>
      </c>
    </row>
    <row r="42" spans="4:39">
      <c r="D42" s="46"/>
      <c r="E42" s="46">
        <v>32</v>
      </c>
      <c r="F42" s="46">
        <v>5.5</v>
      </c>
      <c r="G42" s="46">
        <v>150</v>
      </c>
      <c r="H42" s="46">
        <v>0</v>
      </c>
      <c r="I42" s="46" t="s">
        <v>136</v>
      </c>
      <c r="J42" s="46" t="s">
        <v>136</v>
      </c>
      <c r="K42" s="46" t="s">
        <v>627</v>
      </c>
      <c r="L42" s="46" t="s">
        <v>625</v>
      </c>
      <c r="N42">
        <v>4.0999999999999996</v>
      </c>
      <c r="O42">
        <v>1.7999999999999901</v>
      </c>
      <c r="AF42" s="46" t="s">
        <v>66</v>
      </c>
      <c r="AH42" s="46">
        <v>4.5</v>
      </c>
      <c r="AJ42" s="46">
        <v>4.5</v>
      </c>
    </row>
    <row r="43" spans="4:39">
      <c r="D43" s="46"/>
      <c r="E43" s="46">
        <v>33</v>
      </c>
      <c r="F43" s="46">
        <v>4.5</v>
      </c>
      <c r="G43" s="46">
        <v>-40</v>
      </c>
      <c r="H43" s="46">
        <v>1</v>
      </c>
      <c r="I43" s="46" t="s">
        <v>136</v>
      </c>
      <c r="J43" s="46" t="s">
        <v>136</v>
      </c>
      <c r="K43" s="46" t="s">
        <v>627</v>
      </c>
      <c r="L43" s="46" t="s">
        <v>625</v>
      </c>
      <c r="N43">
        <v>4.2</v>
      </c>
      <c r="O43">
        <v>1.5999999999999901</v>
      </c>
      <c r="AF43" s="46" t="s">
        <v>67</v>
      </c>
      <c r="AH43" s="46">
        <v>-40</v>
      </c>
      <c r="AJ43" s="46">
        <v>-40</v>
      </c>
    </row>
    <row r="44" spans="4:39">
      <c r="D44" s="46"/>
      <c r="E44" s="46">
        <v>34</v>
      </c>
      <c r="F44" s="46">
        <v>5.5</v>
      </c>
      <c r="G44" s="46">
        <v>-40</v>
      </c>
      <c r="H44" s="46">
        <v>1</v>
      </c>
      <c r="I44" s="46" t="s">
        <v>136</v>
      </c>
      <c r="J44" s="46" t="s">
        <v>136</v>
      </c>
      <c r="K44" s="46" t="s">
        <v>627</v>
      </c>
      <c r="L44" s="46" t="s">
        <v>625</v>
      </c>
      <c r="N44">
        <v>4.3</v>
      </c>
      <c r="O44">
        <v>1.3999999999999899</v>
      </c>
      <c r="AF44" s="46" t="s">
        <v>622</v>
      </c>
      <c r="AH44" s="46">
        <v>0</v>
      </c>
      <c r="AJ44" s="46">
        <v>0</v>
      </c>
    </row>
    <row r="45" spans="4:39">
      <c r="D45" s="46"/>
      <c r="E45" s="46">
        <v>35</v>
      </c>
      <c r="F45" s="46">
        <v>4.5</v>
      </c>
      <c r="G45" s="46">
        <v>150</v>
      </c>
      <c r="H45" s="46">
        <v>1</v>
      </c>
      <c r="I45" s="46" t="s">
        <v>136</v>
      </c>
      <c r="J45" s="46" t="s">
        <v>136</v>
      </c>
      <c r="K45" s="46" t="s">
        <v>627</v>
      </c>
      <c r="L45" s="46" t="s">
        <v>625</v>
      </c>
      <c r="N45">
        <v>4.4000000000000004</v>
      </c>
      <c r="O45">
        <v>1.19999999999999</v>
      </c>
      <c r="AF45" s="46" t="s">
        <v>132</v>
      </c>
      <c r="AH45" s="46" t="s">
        <v>62</v>
      </c>
      <c r="AJ45" s="46" t="s">
        <v>138</v>
      </c>
    </row>
    <row r="46" spans="4:39">
      <c r="D46" s="46"/>
      <c r="E46" s="46">
        <v>36</v>
      </c>
      <c r="F46" s="46">
        <v>5.5</v>
      </c>
      <c r="G46" s="46">
        <v>150</v>
      </c>
      <c r="H46" s="46">
        <v>1</v>
      </c>
      <c r="I46" s="46" t="s">
        <v>136</v>
      </c>
      <c r="J46" s="46" t="s">
        <v>136</v>
      </c>
      <c r="K46" s="46" t="s">
        <v>627</v>
      </c>
      <c r="L46" s="46" t="s">
        <v>625</v>
      </c>
      <c r="N46">
        <v>4.5</v>
      </c>
      <c r="O46">
        <v>0.99999999999999001</v>
      </c>
      <c r="AF46" s="46" t="s">
        <v>148</v>
      </c>
      <c r="AH46" s="46" t="s">
        <v>62</v>
      </c>
      <c r="AJ46" s="46" t="s">
        <v>136</v>
      </c>
    </row>
    <row r="47" spans="4:39">
      <c r="D47" s="46"/>
      <c r="E47" s="46">
        <v>37</v>
      </c>
      <c r="F47" s="46">
        <v>4.5</v>
      </c>
      <c r="G47" s="46">
        <v>-40</v>
      </c>
      <c r="H47" s="46">
        <v>2</v>
      </c>
      <c r="I47" s="46" t="s">
        <v>136</v>
      </c>
      <c r="J47" s="46" t="s">
        <v>136</v>
      </c>
      <c r="K47" s="46" t="s">
        <v>627</v>
      </c>
      <c r="L47" s="46" t="s">
        <v>625</v>
      </c>
      <c r="N47">
        <v>4.5999999999999996</v>
      </c>
      <c r="O47">
        <v>0.79999999999999005</v>
      </c>
      <c r="AF47" s="46" t="s">
        <v>150</v>
      </c>
      <c r="AH47" s="46" t="s">
        <v>62</v>
      </c>
      <c r="AJ47" s="46" t="s">
        <v>138</v>
      </c>
    </row>
    <row r="48" spans="4:39">
      <c r="D48" s="46"/>
      <c r="E48" s="46">
        <v>38</v>
      </c>
      <c r="F48" s="46">
        <v>5.5</v>
      </c>
      <c r="G48" s="46">
        <v>-40</v>
      </c>
      <c r="H48" s="46">
        <v>2</v>
      </c>
      <c r="I48" s="46" t="s">
        <v>136</v>
      </c>
      <c r="J48" s="46" t="s">
        <v>136</v>
      </c>
      <c r="K48" s="46" t="s">
        <v>627</v>
      </c>
      <c r="L48" s="46" t="s">
        <v>625</v>
      </c>
      <c r="N48">
        <v>4.7</v>
      </c>
      <c r="O48">
        <v>0.59999999999998999</v>
      </c>
      <c r="AF48" s="46" t="s">
        <v>134</v>
      </c>
      <c r="AH48" s="46" t="s">
        <v>62</v>
      </c>
      <c r="AJ48" s="46" t="s">
        <v>144</v>
      </c>
    </row>
    <row r="49" spans="4:36">
      <c r="D49" s="46"/>
      <c r="E49" s="46">
        <v>39</v>
      </c>
      <c r="F49" s="46">
        <v>4.5</v>
      </c>
      <c r="G49" s="46">
        <v>150</v>
      </c>
      <c r="H49" s="46">
        <v>2</v>
      </c>
      <c r="I49" s="46" t="s">
        <v>136</v>
      </c>
      <c r="J49" s="46" t="s">
        <v>136</v>
      </c>
      <c r="K49" s="46" t="s">
        <v>627</v>
      </c>
      <c r="L49" s="46" t="s">
        <v>625</v>
      </c>
      <c r="N49">
        <v>4.7999999999999901</v>
      </c>
      <c r="O49">
        <v>7.8</v>
      </c>
      <c r="AF49" s="46" t="s">
        <v>81</v>
      </c>
    </row>
    <row r="50" spans="4:36">
      <c r="D50" s="46"/>
      <c r="E50" s="46">
        <v>40</v>
      </c>
      <c r="F50" s="46">
        <v>5.5</v>
      </c>
      <c r="G50" s="46">
        <v>150</v>
      </c>
      <c r="H50" s="46">
        <v>2</v>
      </c>
      <c r="I50" s="46" t="s">
        <v>136</v>
      </c>
      <c r="J50" s="46" t="s">
        <v>136</v>
      </c>
      <c r="K50" s="46" t="s">
        <v>627</v>
      </c>
      <c r="L50" s="46" t="s">
        <v>625</v>
      </c>
      <c r="N50">
        <v>4.8999999999999897</v>
      </c>
      <c r="O50">
        <v>0.19999999999998999</v>
      </c>
      <c r="AF50" s="46" t="s">
        <v>65</v>
      </c>
      <c r="AH50" s="46">
        <v>1.5</v>
      </c>
      <c r="AJ50" s="46">
        <v>5</v>
      </c>
    </row>
    <row r="51" spans="4:36">
      <c r="D51" s="46" t="s">
        <v>229</v>
      </c>
      <c r="E51" s="46">
        <v>41</v>
      </c>
      <c r="F51" s="46">
        <v>4.5</v>
      </c>
      <c r="G51" s="46">
        <v>-40</v>
      </c>
      <c r="H51" s="46">
        <v>0</v>
      </c>
      <c r="I51" s="46" t="s">
        <v>138</v>
      </c>
      <c r="J51" s="46" t="s">
        <v>136</v>
      </c>
      <c r="K51" s="46" t="s">
        <v>628</v>
      </c>
      <c r="L51" s="46" t="s">
        <v>625</v>
      </c>
      <c r="N51">
        <v>5</v>
      </c>
      <c r="O51">
        <v>-25</v>
      </c>
      <c r="AF51" s="46" t="s">
        <v>615</v>
      </c>
      <c r="AH51" s="46">
        <v>7</v>
      </c>
      <c r="AJ51" s="46">
        <v>-25</v>
      </c>
    </row>
    <row r="52" spans="4:36">
      <c r="D52" s="46"/>
      <c r="E52" s="46">
        <v>42</v>
      </c>
      <c r="F52" s="46">
        <v>5.5</v>
      </c>
      <c r="G52" s="46">
        <v>-40</v>
      </c>
      <c r="H52" s="46">
        <v>0</v>
      </c>
      <c r="I52" s="46" t="s">
        <v>138</v>
      </c>
      <c r="J52" s="46" t="s">
        <v>136</v>
      </c>
      <c r="K52" s="46" t="s">
        <v>628</v>
      </c>
      <c r="L52" s="46" t="s">
        <v>625</v>
      </c>
      <c r="N52">
        <v>5.0999999999999899</v>
      </c>
      <c r="O52">
        <v>-0.200000000000011</v>
      </c>
    </row>
    <row r="53" spans="4:36">
      <c r="D53" s="46"/>
      <c r="E53" s="46">
        <v>43</v>
      </c>
      <c r="F53" s="46">
        <v>4.5</v>
      </c>
      <c r="G53" s="46">
        <v>150</v>
      </c>
      <c r="H53" s="46">
        <v>0</v>
      </c>
      <c r="I53" s="46" t="s">
        <v>138</v>
      </c>
      <c r="J53" s="46" t="s">
        <v>136</v>
      </c>
      <c r="K53" s="46" t="s">
        <v>628</v>
      </c>
      <c r="L53" s="46" t="s">
        <v>625</v>
      </c>
      <c r="N53">
        <v>5.1999999999999904</v>
      </c>
      <c r="O53">
        <v>-0.40000000000001001</v>
      </c>
    </row>
    <row r="54" spans="4:36">
      <c r="D54" s="46"/>
      <c r="E54" s="46">
        <v>44</v>
      </c>
      <c r="F54" s="46">
        <v>5.5</v>
      </c>
      <c r="G54" s="46">
        <v>150</v>
      </c>
      <c r="H54" s="46">
        <v>0</v>
      </c>
      <c r="I54" s="46" t="s">
        <v>138</v>
      </c>
      <c r="J54" s="46" t="s">
        <v>136</v>
      </c>
      <c r="K54" s="46" t="s">
        <v>628</v>
      </c>
      <c r="L54" s="46" t="s">
        <v>625</v>
      </c>
      <c r="N54">
        <v>5.2999999999999901</v>
      </c>
      <c r="O54">
        <v>-0.60000000000000897</v>
      </c>
      <c r="AF54" s="46" t="s">
        <v>639</v>
      </c>
    </row>
    <row r="55" spans="4:36">
      <c r="D55" s="46"/>
      <c r="E55" s="46">
        <v>45</v>
      </c>
      <c r="F55" s="46">
        <v>4.5</v>
      </c>
      <c r="G55" s="46">
        <v>-40</v>
      </c>
      <c r="H55" s="46">
        <v>1</v>
      </c>
      <c r="I55" s="46" t="s">
        <v>138</v>
      </c>
      <c r="J55" s="46" t="s">
        <v>136</v>
      </c>
      <c r="K55" s="46" t="s">
        <v>628</v>
      </c>
      <c r="L55" s="46" t="s">
        <v>625</v>
      </c>
      <c r="N55">
        <v>5.3999999999999897</v>
      </c>
      <c r="O55">
        <v>-0.80000000000001004</v>
      </c>
      <c r="AH55" s="46" t="s">
        <v>74</v>
      </c>
      <c r="AJ55" s="46" t="s">
        <v>618</v>
      </c>
    </row>
    <row r="56" spans="4:36">
      <c r="D56" s="46"/>
      <c r="E56" s="46">
        <v>46</v>
      </c>
      <c r="F56" s="46">
        <v>5.5</v>
      </c>
      <c r="G56" s="46">
        <v>-40</v>
      </c>
      <c r="H56" s="46">
        <v>1</v>
      </c>
      <c r="I56" s="46" t="s">
        <v>138</v>
      </c>
      <c r="J56" s="46" t="s">
        <v>136</v>
      </c>
      <c r="K56" s="46" t="s">
        <v>628</v>
      </c>
      <c r="L56" s="46" t="s">
        <v>625</v>
      </c>
      <c r="N56">
        <v>5.4999999999999902</v>
      </c>
      <c r="O56">
        <v>-1.00000000000001</v>
      </c>
      <c r="AF56" s="46" t="s">
        <v>614</v>
      </c>
      <c r="AH56" s="46">
        <v>153</v>
      </c>
      <c r="AJ56" s="46">
        <v>6</v>
      </c>
    </row>
    <row r="57" spans="4:36">
      <c r="D57" s="46"/>
      <c r="E57" s="46">
        <v>47</v>
      </c>
      <c r="F57" s="46">
        <v>4.5</v>
      </c>
      <c r="G57" s="46">
        <v>150</v>
      </c>
      <c r="H57" s="46">
        <v>1</v>
      </c>
      <c r="I57" s="46" t="s">
        <v>138</v>
      </c>
      <c r="J57" s="46" t="s">
        <v>136</v>
      </c>
      <c r="K57" s="46" t="s">
        <v>628</v>
      </c>
      <c r="L57" s="46" t="s">
        <v>625</v>
      </c>
      <c r="N57">
        <v>5.5999999999999899</v>
      </c>
      <c r="O57">
        <v>-1.2000000000000099</v>
      </c>
      <c r="AF57" s="46" t="s">
        <v>66</v>
      </c>
      <c r="AH57" s="46">
        <v>4.5</v>
      </c>
      <c r="AJ57" s="46">
        <v>4.5</v>
      </c>
    </row>
    <row r="58" spans="4:36">
      <c r="D58" s="46"/>
      <c r="E58" s="46">
        <v>48</v>
      </c>
      <c r="F58" s="46">
        <v>5.5</v>
      </c>
      <c r="G58" s="46">
        <v>150</v>
      </c>
      <c r="H58" s="46">
        <v>1</v>
      </c>
      <c r="I58" s="46" t="s">
        <v>138</v>
      </c>
      <c r="J58" s="46" t="s">
        <v>136</v>
      </c>
      <c r="K58" s="46" t="s">
        <v>628</v>
      </c>
      <c r="L58" s="46" t="s">
        <v>625</v>
      </c>
      <c r="N58">
        <v>5.6999999999999904</v>
      </c>
      <c r="O58">
        <v>-1.4000000000000099</v>
      </c>
      <c r="AF58" s="46" t="s">
        <v>67</v>
      </c>
      <c r="AH58" s="46">
        <v>-40</v>
      </c>
      <c r="AJ58" s="46">
        <v>-40</v>
      </c>
    </row>
    <row r="59" spans="4:36">
      <c r="D59" s="46"/>
      <c r="E59" s="46">
        <v>49</v>
      </c>
      <c r="F59" s="46">
        <v>4.5</v>
      </c>
      <c r="G59" s="46">
        <v>-40</v>
      </c>
      <c r="H59" s="46">
        <v>2</v>
      </c>
      <c r="I59" s="46" t="s">
        <v>138</v>
      </c>
      <c r="J59" s="46" t="s">
        <v>136</v>
      </c>
      <c r="K59" s="46" t="s">
        <v>628</v>
      </c>
      <c r="L59" s="46" t="s">
        <v>625</v>
      </c>
      <c r="N59">
        <v>5.7999999999999901</v>
      </c>
      <c r="O59">
        <v>-1.6000000000000101</v>
      </c>
      <c r="AF59" s="46" t="s">
        <v>622</v>
      </c>
      <c r="AH59" s="46">
        <v>1</v>
      </c>
      <c r="AJ59" s="46">
        <v>0</v>
      </c>
    </row>
    <row r="60" spans="4:36">
      <c r="D60" s="46"/>
      <c r="E60" s="46">
        <v>50</v>
      </c>
      <c r="F60" s="46">
        <v>5.5</v>
      </c>
      <c r="G60" s="46">
        <v>-40</v>
      </c>
      <c r="H60" s="46">
        <v>2</v>
      </c>
      <c r="I60" s="46" t="s">
        <v>138</v>
      </c>
      <c r="J60" s="46" t="s">
        <v>136</v>
      </c>
      <c r="K60" s="46" t="s">
        <v>628</v>
      </c>
      <c r="L60" s="46" t="s">
        <v>625</v>
      </c>
      <c r="N60">
        <v>5.8999999999999897</v>
      </c>
      <c r="O60">
        <v>-1.80000000000001</v>
      </c>
      <c r="AF60" s="46" t="s">
        <v>132</v>
      </c>
      <c r="AH60" s="46" t="s">
        <v>140</v>
      </c>
      <c r="AJ60" s="46" t="s">
        <v>62</v>
      </c>
    </row>
    <row r="61" spans="4:36">
      <c r="D61" s="46"/>
      <c r="E61" s="46">
        <v>51</v>
      </c>
      <c r="F61" s="46">
        <v>4.5</v>
      </c>
      <c r="G61" s="46">
        <v>150</v>
      </c>
      <c r="H61" s="46">
        <v>2</v>
      </c>
      <c r="I61" s="46" t="s">
        <v>138</v>
      </c>
      <c r="J61" s="46" t="s">
        <v>136</v>
      </c>
      <c r="K61" s="46" t="s">
        <v>628</v>
      </c>
      <c r="L61" s="46" t="s">
        <v>625</v>
      </c>
      <c r="N61">
        <v>5.9999999999999902</v>
      </c>
      <c r="O61">
        <v>-2.0000000000000102</v>
      </c>
      <c r="AF61" s="46" t="s">
        <v>148</v>
      </c>
      <c r="AH61" s="46" t="s">
        <v>140</v>
      </c>
      <c r="AJ61" s="46" t="s">
        <v>62</v>
      </c>
    </row>
    <row r="62" spans="4:36">
      <c r="D62" s="46"/>
      <c r="E62" s="46">
        <v>52</v>
      </c>
      <c r="F62" s="46">
        <v>5.5</v>
      </c>
      <c r="G62" s="46">
        <v>150</v>
      </c>
      <c r="H62" s="46">
        <v>2</v>
      </c>
      <c r="I62" s="46" t="s">
        <v>138</v>
      </c>
      <c r="J62" s="46" t="s">
        <v>136</v>
      </c>
      <c r="K62" s="46" t="s">
        <v>628</v>
      </c>
      <c r="L62" s="46" t="s">
        <v>625</v>
      </c>
      <c r="N62">
        <v>6.0999999999999899</v>
      </c>
      <c r="O62">
        <v>-2.2000000000000002</v>
      </c>
      <c r="AF62" s="46" t="s">
        <v>150</v>
      </c>
      <c r="AH62" s="46" t="s">
        <v>140</v>
      </c>
      <c r="AJ62" s="46" t="s">
        <v>62</v>
      </c>
    </row>
    <row r="63" spans="4:36">
      <c r="D63" s="46" t="s">
        <v>230</v>
      </c>
      <c r="E63" s="46">
        <v>53</v>
      </c>
      <c r="F63" s="46">
        <v>4.5</v>
      </c>
      <c r="G63" s="46">
        <v>-40</v>
      </c>
      <c r="H63" s="46">
        <v>0</v>
      </c>
      <c r="I63" s="46" t="s">
        <v>140</v>
      </c>
      <c r="J63" s="46" t="s">
        <v>136</v>
      </c>
      <c r="K63" s="46" t="s">
        <v>629</v>
      </c>
      <c r="L63" s="46" t="s">
        <v>625</v>
      </c>
      <c r="N63">
        <v>6.1999999999999904</v>
      </c>
      <c r="O63">
        <v>-2.4</v>
      </c>
      <c r="AF63" s="46" t="s">
        <v>134</v>
      </c>
      <c r="AH63" s="46" t="s">
        <v>146</v>
      </c>
      <c r="AJ63" s="46" t="s">
        <v>62</v>
      </c>
    </row>
    <row r="64" spans="4:36">
      <c r="D64" s="46"/>
      <c r="E64" s="46">
        <v>54</v>
      </c>
      <c r="F64" s="46">
        <v>5.5</v>
      </c>
      <c r="G64" s="46">
        <v>-40</v>
      </c>
      <c r="H64" s="46">
        <v>0</v>
      </c>
      <c r="I64" s="46" t="s">
        <v>140</v>
      </c>
      <c r="J64" s="46" t="s">
        <v>136</v>
      </c>
      <c r="K64" s="46" t="s">
        <v>629</v>
      </c>
      <c r="L64" s="46" t="s">
        <v>625</v>
      </c>
      <c r="N64">
        <v>6.2999999999999901</v>
      </c>
      <c r="O64">
        <v>-2.6</v>
      </c>
      <c r="AF64" s="46" t="s">
        <v>81</v>
      </c>
    </row>
    <row r="65" spans="4:36">
      <c r="D65" s="46"/>
      <c r="E65" s="46">
        <v>55</v>
      </c>
      <c r="F65" s="46">
        <v>4.5</v>
      </c>
      <c r="G65" s="46">
        <v>150</v>
      </c>
      <c r="H65" s="46">
        <v>0</v>
      </c>
      <c r="I65" s="46" t="s">
        <v>140</v>
      </c>
      <c r="J65" s="46" t="s">
        <v>136</v>
      </c>
      <c r="K65" s="46" t="s">
        <v>629</v>
      </c>
      <c r="L65" s="46" t="s">
        <v>625</v>
      </c>
      <c r="N65">
        <v>6.3999999999999897</v>
      </c>
      <c r="O65">
        <v>-2.8</v>
      </c>
      <c r="AF65" s="46" t="s">
        <v>65</v>
      </c>
      <c r="AH65" s="46">
        <v>16.2</v>
      </c>
      <c r="AJ65" s="46">
        <v>1.5</v>
      </c>
    </row>
    <row r="66" spans="4:36">
      <c r="D66" s="46"/>
      <c r="E66" s="46">
        <v>56</v>
      </c>
      <c r="F66" s="46">
        <v>5.5</v>
      </c>
      <c r="G66" s="46">
        <v>150</v>
      </c>
      <c r="H66" s="46">
        <v>0</v>
      </c>
      <c r="I66" s="46" t="s">
        <v>140</v>
      </c>
      <c r="J66" s="46" t="s">
        <v>136</v>
      </c>
      <c r="K66" s="46" t="s">
        <v>629</v>
      </c>
      <c r="L66" s="46" t="s">
        <v>625</v>
      </c>
      <c r="N66">
        <v>6.4999999999999902</v>
      </c>
      <c r="O66">
        <v>-3</v>
      </c>
      <c r="AF66" s="46" t="s">
        <v>615</v>
      </c>
      <c r="AH66" s="46">
        <v>-22.4</v>
      </c>
      <c r="AJ66" s="46">
        <v>7</v>
      </c>
    </row>
    <row r="67" spans="4:36">
      <c r="D67" s="46"/>
      <c r="E67" s="46">
        <v>57</v>
      </c>
      <c r="F67" s="46">
        <v>4.5</v>
      </c>
      <c r="G67" s="46">
        <v>-40</v>
      </c>
      <c r="H67" s="46">
        <v>1</v>
      </c>
      <c r="I67" s="46" t="s">
        <v>140</v>
      </c>
      <c r="J67" s="46" t="s">
        <v>136</v>
      </c>
      <c r="K67" s="46" t="s">
        <v>629</v>
      </c>
      <c r="L67" s="46" t="s">
        <v>625</v>
      </c>
      <c r="N67">
        <v>6.5999999999999899</v>
      </c>
      <c r="O67">
        <v>-3.2</v>
      </c>
    </row>
    <row r="68" spans="4:36">
      <c r="D68" s="46"/>
      <c r="E68" s="46">
        <v>58</v>
      </c>
      <c r="F68" s="46">
        <v>5.5</v>
      </c>
      <c r="G68" s="46">
        <v>-40</v>
      </c>
      <c r="H68" s="46">
        <v>1</v>
      </c>
      <c r="I68" s="46" t="s">
        <v>140</v>
      </c>
      <c r="J68" s="46" t="s">
        <v>136</v>
      </c>
      <c r="K68" s="46" t="s">
        <v>629</v>
      </c>
      <c r="L68" s="46" t="s">
        <v>625</v>
      </c>
      <c r="N68">
        <v>6.6999999999999904</v>
      </c>
      <c r="O68">
        <v>-3.4</v>
      </c>
    </row>
    <row r="69" spans="4:36">
      <c r="D69" s="46"/>
      <c r="E69" s="46">
        <v>59</v>
      </c>
      <c r="F69" s="46">
        <v>4.5</v>
      </c>
      <c r="G69" s="46">
        <v>150</v>
      </c>
      <c r="H69" s="46">
        <v>1</v>
      </c>
      <c r="I69" s="46" t="s">
        <v>140</v>
      </c>
      <c r="J69" s="46" t="s">
        <v>136</v>
      </c>
      <c r="K69" s="46" t="s">
        <v>629</v>
      </c>
      <c r="L69" s="46" t="s">
        <v>625</v>
      </c>
      <c r="N69">
        <v>6.7999999999999901</v>
      </c>
      <c r="O69">
        <v>-3.6</v>
      </c>
      <c r="AF69" s="46" t="s">
        <v>640</v>
      </c>
    </row>
    <row r="70" spans="4:36">
      <c r="D70" s="46"/>
      <c r="E70" s="46">
        <v>60</v>
      </c>
      <c r="F70" s="46">
        <v>5.5</v>
      </c>
      <c r="G70" s="46">
        <v>150</v>
      </c>
      <c r="H70" s="46">
        <v>1</v>
      </c>
      <c r="I70" s="46" t="s">
        <v>140</v>
      </c>
      <c r="J70" s="46" t="s">
        <v>136</v>
      </c>
      <c r="K70" s="46" t="s">
        <v>629</v>
      </c>
      <c r="L70" s="46" t="s">
        <v>625</v>
      </c>
      <c r="N70">
        <v>6.8999999999999897</v>
      </c>
      <c r="O70">
        <v>-3.8</v>
      </c>
      <c r="AH70" s="46" t="s">
        <v>72</v>
      </c>
      <c r="AJ70" s="46" t="s">
        <v>617</v>
      </c>
    </row>
    <row r="71" spans="4:36">
      <c r="D71" s="46"/>
      <c r="E71" s="46">
        <v>61</v>
      </c>
      <c r="F71" s="46">
        <v>4.5</v>
      </c>
      <c r="G71" s="46">
        <v>-40</v>
      </c>
      <c r="H71" s="46">
        <v>2</v>
      </c>
      <c r="I71" s="46" t="s">
        <v>140</v>
      </c>
      <c r="J71" s="46" t="s">
        <v>136</v>
      </c>
      <c r="K71" s="46" t="s">
        <v>629</v>
      </c>
      <c r="L71" s="46" t="s">
        <v>625</v>
      </c>
      <c r="N71">
        <v>6.9999999999999902</v>
      </c>
      <c r="O71">
        <v>-4</v>
      </c>
      <c r="AF71" s="46" t="s">
        <v>614</v>
      </c>
      <c r="AH71" s="46">
        <v>7</v>
      </c>
      <c r="AJ71" s="46">
        <v>190</v>
      </c>
    </row>
    <row r="72" spans="4:36">
      <c r="D72" s="46"/>
      <c r="E72" s="46">
        <v>62</v>
      </c>
      <c r="F72" s="46">
        <v>5.5</v>
      </c>
      <c r="G72" s="46">
        <v>-40</v>
      </c>
      <c r="H72" s="46">
        <v>2</v>
      </c>
      <c r="I72" s="46" t="s">
        <v>140</v>
      </c>
      <c r="J72" s="46" t="s">
        <v>136</v>
      </c>
      <c r="K72" s="46" t="s">
        <v>629</v>
      </c>
      <c r="L72" s="46" t="s">
        <v>625</v>
      </c>
      <c r="N72">
        <v>7.0999999999999899</v>
      </c>
      <c r="O72">
        <v>-4.2</v>
      </c>
      <c r="AF72" s="46" t="s">
        <v>66</v>
      </c>
      <c r="AH72" s="46">
        <v>5.5</v>
      </c>
      <c r="AJ72" s="46">
        <v>5.5</v>
      </c>
    </row>
    <row r="73" spans="4:36">
      <c r="D73" s="46"/>
      <c r="E73" s="46">
        <v>63</v>
      </c>
      <c r="F73" s="46">
        <v>4.5</v>
      </c>
      <c r="G73" s="46">
        <v>150</v>
      </c>
      <c r="H73" s="46">
        <v>2</v>
      </c>
      <c r="I73" s="46" t="s">
        <v>140</v>
      </c>
      <c r="J73" s="46" t="s">
        <v>136</v>
      </c>
      <c r="K73" s="46" t="s">
        <v>629</v>
      </c>
      <c r="L73" s="46" t="s">
        <v>625</v>
      </c>
      <c r="N73">
        <v>7.1999999999999904</v>
      </c>
      <c r="O73">
        <v>-4.4000000000000004</v>
      </c>
      <c r="AF73" s="46" t="s">
        <v>67</v>
      </c>
      <c r="AH73" s="46">
        <v>-40</v>
      </c>
      <c r="AJ73" s="46">
        <v>-40</v>
      </c>
    </row>
    <row r="74" spans="4:36">
      <c r="D74" s="46"/>
      <c r="E74" s="46">
        <v>64</v>
      </c>
      <c r="F74" s="46">
        <v>5.5</v>
      </c>
      <c r="G74" s="46">
        <v>150</v>
      </c>
      <c r="H74" s="46">
        <v>2</v>
      </c>
      <c r="I74" s="46" t="s">
        <v>140</v>
      </c>
      <c r="J74" s="46" t="s">
        <v>136</v>
      </c>
      <c r="K74" s="46" t="s">
        <v>629</v>
      </c>
      <c r="L74" s="46" t="s">
        <v>625</v>
      </c>
      <c r="N74">
        <v>7.2999999999999901</v>
      </c>
      <c r="O74">
        <v>-4.5999999999999996</v>
      </c>
      <c r="AF74" s="46" t="s">
        <v>622</v>
      </c>
      <c r="AH74" s="46">
        <v>0</v>
      </c>
      <c r="AJ74" s="46">
        <v>1</v>
      </c>
    </row>
    <row r="75" spans="4:36">
      <c r="D75" s="46" t="s">
        <v>231</v>
      </c>
      <c r="E75" s="46">
        <v>65</v>
      </c>
      <c r="F75" s="46">
        <v>4.5</v>
      </c>
      <c r="G75" s="46">
        <v>-40</v>
      </c>
      <c r="H75" s="46">
        <v>0</v>
      </c>
      <c r="I75" s="46" t="s">
        <v>142</v>
      </c>
      <c r="J75" s="46" t="s">
        <v>136</v>
      </c>
      <c r="K75" s="46" t="s">
        <v>630</v>
      </c>
      <c r="L75" s="46" t="s">
        <v>625</v>
      </c>
      <c r="N75">
        <v>7.3999999999999897</v>
      </c>
      <c r="O75">
        <v>-4.8</v>
      </c>
      <c r="AF75" s="46" t="s">
        <v>132</v>
      </c>
      <c r="AH75" s="46" t="s">
        <v>62</v>
      </c>
      <c r="AJ75" s="46" t="s">
        <v>138</v>
      </c>
    </row>
    <row r="76" spans="4:36">
      <c r="D76" s="46"/>
      <c r="E76" s="46">
        <v>66</v>
      </c>
      <c r="F76" s="46">
        <v>5.5</v>
      </c>
      <c r="G76" s="46">
        <v>-40</v>
      </c>
      <c r="H76" s="46">
        <v>0</v>
      </c>
      <c r="I76" s="46" t="s">
        <v>142</v>
      </c>
      <c r="J76" s="46" t="s">
        <v>136</v>
      </c>
      <c r="K76" s="46" t="s">
        <v>630</v>
      </c>
      <c r="L76" s="46" t="s">
        <v>625</v>
      </c>
      <c r="N76">
        <v>7.4999999999999902</v>
      </c>
      <c r="O76">
        <v>-5</v>
      </c>
      <c r="AF76" s="46" t="s">
        <v>148</v>
      </c>
      <c r="AH76" s="46" t="s">
        <v>62</v>
      </c>
      <c r="AJ76" s="46" t="s">
        <v>142</v>
      </c>
    </row>
    <row r="77" spans="4:36">
      <c r="D77" s="46"/>
      <c r="E77" s="46">
        <v>67</v>
      </c>
      <c r="F77" s="46">
        <v>4.5</v>
      </c>
      <c r="G77" s="46">
        <v>150</v>
      </c>
      <c r="H77" s="46">
        <v>0</v>
      </c>
      <c r="I77" s="46" t="s">
        <v>142</v>
      </c>
      <c r="J77" s="46" t="s">
        <v>136</v>
      </c>
      <c r="K77" s="46" t="s">
        <v>630</v>
      </c>
      <c r="L77" s="46" t="s">
        <v>625</v>
      </c>
      <c r="N77">
        <v>7.5999999999999899</v>
      </c>
      <c r="O77">
        <v>-5.2</v>
      </c>
      <c r="AF77" s="46" t="s">
        <v>150</v>
      </c>
      <c r="AH77" s="46" t="s">
        <v>62</v>
      </c>
      <c r="AJ77" s="46" t="s">
        <v>138</v>
      </c>
    </row>
    <row r="78" spans="4:36">
      <c r="D78" s="46"/>
      <c r="E78" s="46">
        <v>68</v>
      </c>
      <c r="F78" s="46">
        <v>5.5</v>
      </c>
      <c r="G78" s="46">
        <v>150</v>
      </c>
      <c r="H78" s="46">
        <v>0</v>
      </c>
      <c r="I78" s="46" t="s">
        <v>142</v>
      </c>
      <c r="J78" s="46" t="s">
        <v>136</v>
      </c>
      <c r="K78" s="46" t="s">
        <v>630</v>
      </c>
      <c r="L78" s="46" t="s">
        <v>625</v>
      </c>
      <c r="N78">
        <v>7.6999999999999904</v>
      </c>
      <c r="O78">
        <v>-5.4</v>
      </c>
      <c r="AF78" s="46" t="s">
        <v>134</v>
      </c>
      <c r="AH78" s="46" t="s">
        <v>62</v>
      </c>
      <c r="AJ78" s="46" t="s">
        <v>146</v>
      </c>
    </row>
    <row r="79" spans="4:36">
      <c r="D79" s="46"/>
      <c r="E79" s="46">
        <v>69</v>
      </c>
      <c r="F79" s="46">
        <v>4.5</v>
      </c>
      <c r="G79" s="46">
        <v>-40</v>
      </c>
      <c r="H79" s="46">
        <v>1</v>
      </c>
      <c r="I79" s="46" t="s">
        <v>142</v>
      </c>
      <c r="J79" s="46" t="s">
        <v>136</v>
      </c>
      <c r="K79" s="46" t="s">
        <v>630</v>
      </c>
      <c r="L79" s="46" t="s">
        <v>625</v>
      </c>
      <c r="N79">
        <v>7.7999999999999901</v>
      </c>
      <c r="O79">
        <v>-5.6</v>
      </c>
      <c r="AF79" s="46" t="s">
        <v>81</v>
      </c>
    </row>
    <row r="80" spans="4:36">
      <c r="D80" s="46"/>
      <c r="E80" s="46">
        <v>70</v>
      </c>
      <c r="F80" s="46">
        <v>5.5</v>
      </c>
      <c r="G80" s="46">
        <v>-40</v>
      </c>
      <c r="H80" s="46">
        <v>1</v>
      </c>
      <c r="I80" s="46" t="s">
        <v>142</v>
      </c>
      <c r="J80" s="46" t="s">
        <v>136</v>
      </c>
      <c r="K80" s="46" t="s">
        <v>630</v>
      </c>
      <c r="L80" s="46" t="s">
        <v>625</v>
      </c>
      <c r="N80">
        <v>7.8999999999999897</v>
      </c>
      <c r="O80">
        <v>-5.8</v>
      </c>
      <c r="AF80" s="46" t="s">
        <v>65</v>
      </c>
      <c r="AH80" s="46">
        <v>1.6</v>
      </c>
      <c r="AJ80" s="46">
        <v>5</v>
      </c>
    </row>
    <row r="81" spans="4:36">
      <c r="D81" s="46"/>
      <c r="E81" s="46">
        <v>71</v>
      </c>
      <c r="F81" s="46">
        <v>4.5</v>
      </c>
      <c r="G81" s="46">
        <v>150</v>
      </c>
      <c r="H81" s="46">
        <v>1</v>
      </c>
      <c r="I81" s="46" t="s">
        <v>142</v>
      </c>
      <c r="J81" s="46" t="s">
        <v>136</v>
      </c>
      <c r="K81" s="46" t="s">
        <v>630</v>
      </c>
      <c r="L81" s="46" t="s">
        <v>625</v>
      </c>
      <c r="N81">
        <v>7.9999999999999902</v>
      </c>
      <c r="O81">
        <v>-6</v>
      </c>
      <c r="AF81" s="46" t="s">
        <v>615</v>
      </c>
      <c r="AH81" s="46">
        <v>6.8</v>
      </c>
      <c r="AJ81" s="46">
        <v>-25</v>
      </c>
    </row>
    <row r="82" spans="4:36">
      <c r="D82" s="46"/>
      <c r="E82" s="46">
        <v>72</v>
      </c>
      <c r="F82" s="46">
        <v>5.5</v>
      </c>
      <c r="G82" s="46">
        <v>150</v>
      </c>
      <c r="H82" s="46">
        <v>1</v>
      </c>
      <c r="I82" s="46" t="s">
        <v>142</v>
      </c>
      <c r="J82" s="46" t="s">
        <v>136</v>
      </c>
      <c r="K82" s="46" t="s">
        <v>630</v>
      </c>
      <c r="L82" s="46" t="s">
        <v>625</v>
      </c>
      <c r="N82">
        <v>8.0999999999999908</v>
      </c>
      <c r="O82">
        <v>-6.2</v>
      </c>
    </row>
    <row r="83" spans="4:36">
      <c r="D83" s="46"/>
      <c r="E83" s="46">
        <v>73</v>
      </c>
      <c r="F83" s="46">
        <v>4.5</v>
      </c>
      <c r="G83" s="46">
        <v>-40</v>
      </c>
      <c r="H83" s="46">
        <v>2</v>
      </c>
      <c r="I83" s="46" t="s">
        <v>142</v>
      </c>
      <c r="J83" s="46" t="s">
        <v>136</v>
      </c>
      <c r="K83" s="46" t="s">
        <v>630</v>
      </c>
      <c r="L83" s="46" t="s">
        <v>625</v>
      </c>
      <c r="N83">
        <v>8.1999999999999904</v>
      </c>
      <c r="O83">
        <v>-6.4</v>
      </c>
    </row>
    <row r="84" spans="4:36">
      <c r="D84" s="46"/>
      <c r="E84" s="46">
        <v>74</v>
      </c>
      <c r="F84" s="46">
        <v>5.5</v>
      </c>
      <c r="G84" s="46">
        <v>-40</v>
      </c>
      <c r="H84" s="46">
        <v>2</v>
      </c>
      <c r="I84" s="46" t="s">
        <v>142</v>
      </c>
      <c r="J84" s="46" t="s">
        <v>136</v>
      </c>
      <c r="K84" s="46" t="s">
        <v>630</v>
      </c>
      <c r="L84" s="46" t="s">
        <v>625</v>
      </c>
      <c r="N84">
        <v>8.2999999999999901</v>
      </c>
      <c r="O84">
        <v>-6.6</v>
      </c>
      <c r="AF84" s="46" t="s">
        <v>640</v>
      </c>
    </row>
    <row r="85" spans="4:36">
      <c r="D85" s="46"/>
      <c r="E85" s="46">
        <v>75</v>
      </c>
      <c r="F85" s="46">
        <v>4.5</v>
      </c>
      <c r="G85" s="46">
        <v>150</v>
      </c>
      <c r="H85" s="46">
        <v>2</v>
      </c>
      <c r="I85" s="46" t="s">
        <v>142</v>
      </c>
      <c r="J85" s="46" t="s">
        <v>136</v>
      </c>
      <c r="K85" s="46" t="s">
        <v>630</v>
      </c>
      <c r="L85" s="46" t="s">
        <v>625</v>
      </c>
      <c r="N85">
        <v>8.3999999999999897</v>
      </c>
      <c r="O85">
        <v>-6.8</v>
      </c>
      <c r="AH85" s="46" t="s">
        <v>74</v>
      </c>
      <c r="AJ85" s="46" t="s">
        <v>618</v>
      </c>
    </row>
    <row r="86" spans="4:36">
      <c r="D86" s="46"/>
      <c r="E86" s="46">
        <v>76</v>
      </c>
      <c r="F86" s="46">
        <v>5.5</v>
      </c>
      <c r="G86" s="46">
        <v>150</v>
      </c>
      <c r="H86" s="46">
        <v>2</v>
      </c>
      <c r="I86" s="46" t="s">
        <v>142</v>
      </c>
      <c r="J86" s="46" t="s">
        <v>136</v>
      </c>
      <c r="K86" s="46" t="s">
        <v>630</v>
      </c>
      <c r="L86" s="46" t="s">
        <v>625</v>
      </c>
      <c r="N86">
        <v>8.4999999999999893</v>
      </c>
      <c r="O86">
        <v>-7</v>
      </c>
      <c r="AF86" s="46" t="s">
        <v>614</v>
      </c>
      <c r="AH86" s="46">
        <v>154</v>
      </c>
      <c r="AJ86" s="46">
        <v>7</v>
      </c>
    </row>
    <row r="87" spans="4:36">
      <c r="D87" s="46" t="s">
        <v>232</v>
      </c>
      <c r="E87" s="46">
        <v>77</v>
      </c>
      <c r="F87" s="46">
        <v>4.5</v>
      </c>
      <c r="G87" s="46">
        <v>-40</v>
      </c>
      <c r="H87" s="46">
        <v>0</v>
      </c>
      <c r="I87" s="46" t="s">
        <v>136</v>
      </c>
      <c r="J87" s="46" t="s">
        <v>138</v>
      </c>
      <c r="K87" s="46" t="s">
        <v>627</v>
      </c>
      <c r="L87" s="46" t="s">
        <v>625</v>
      </c>
      <c r="N87">
        <v>8.5999999999999908</v>
      </c>
      <c r="O87">
        <v>-7.2</v>
      </c>
      <c r="AF87" s="46" t="s">
        <v>66</v>
      </c>
      <c r="AH87" s="46">
        <v>5.5</v>
      </c>
      <c r="AJ87" s="46">
        <v>5.5</v>
      </c>
    </row>
    <row r="88" spans="4:36">
      <c r="D88" s="46"/>
      <c r="E88" s="46">
        <v>78</v>
      </c>
      <c r="F88" s="46">
        <v>5.5</v>
      </c>
      <c r="G88" s="46">
        <v>-40</v>
      </c>
      <c r="H88" s="46">
        <v>0</v>
      </c>
      <c r="I88" s="46" t="s">
        <v>136</v>
      </c>
      <c r="J88" s="46" t="s">
        <v>138</v>
      </c>
      <c r="K88" s="46" t="s">
        <v>627</v>
      </c>
      <c r="L88" s="46" t="s">
        <v>625</v>
      </c>
      <c r="N88">
        <v>8.6999999999999904</v>
      </c>
      <c r="O88">
        <v>-7.4</v>
      </c>
      <c r="AF88" s="46" t="s">
        <v>67</v>
      </c>
      <c r="AH88" s="46">
        <v>-40</v>
      </c>
      <c r="AJ88" s="46">
        <v>-40</v>
      </c>
    </row>
    <row r="89" spans="4:36">
      <c r="D89" s="46"/>
      <c r="E89" s="46">
        <v>79</v>
      </c>
      <c r="F89" s="46">
        <v>4.5</v>
      </c>
      <c r="G89" s="46">
        <v>150</v>
      </c>
      <c r="H89" s="46">
        <v>0</v>
      </c>
      <c r="I89" s="46" t="s">
        <v>136</v>
      </c>
      <c r="J89" s="46" t="s">
        <v>138</v>
      </c>
      <c r="K89" s="46" t="s">
        <v>627</v>
      </c>
      <c r="L89" s="46" t="s">
        <v>625</v>
      </c>
      <c r="N89">
        <v>8.7999999999999901</v>
      </c>
      <c r="O89">
        <v>-7.6</v>
      </c>
      <c r="AF89" s="46" t="s">
        <v>622</v>
      </c>
      <c r="AH89" s="46">
        <v>1</v>
      </c>
      <c r="AJ89" s="46">
        <v>0</v>
      </c>
    </row>
    <row r="90" spans="4:36">
      <c r="D90" s="46"/>
      <c r="E90" s="46">
        <v>80</v>
      </c>
      <c r="F90" s="46">
        <v>5.5</v>
      </c>
      <c r="G90" s="46">
        <v>150</v>
      </c>
      <c r="H90" s="46">
        <v>0</v>
      </c>
      <c r="I90" s="46" t="s">
        <v>136</v>
      </c>
      <c r="J90" s="46" t="s">
        <v>138</v>
      </c>
      <c r="K90" s="46" t="s">
        <v>627</v>
      </c>
      <c r="L90" s="46" t="s">
        <v>625</v>
      </c>
      <c r="N90">
        <v>8.8999999999999897</v>
      </c>
      <c r="O90">
        <v>-7.8</v>
      </c>
      <c r="AF90" s="46" t="s">
        <v>132</v>
      </c>
      <c r="AH90" s="46" t="s">
        <v>140</v>
      </c>
      <c r="AJ90" s="46" t="s">
        <v>62</v>
      </c>
    </row>
    <row r="91" spans="4:36">
      <c r="D91" s="46"/>
      <c r="E91" s="46">
        <v>81</v>
      </c>
      <c r="F91" s="46">
        <v>4.5</v>
      </c>
      <c r="G91" s="46">
        <v>-40</v>
      </c>
      <c r="H91" s="46">
        <v>1</v>
      </c>
      <c r="I91" s="46" t="s">
        <v>136</v>
      </c>
      <c r="J91" s="46" t="s">
        <v>138</v>
      </c>
      <c r="K91" s="46" t="s">
        <v>627</v>
      </c>
      <c r="L91" s="46" t="s">
        <v>625</v>
      </c>
      <c r="N91">
        <v>8.9999999999999893</v>
      </c>
      <c r="O91">
        <v>-8</v>
      </c>
      <c r="AF91" s="46" t="s">
        <v>148</v>
      </c>
      <c r="AH91" s="46" t="s">
        <v>140</v>
      </c>
      <c r="AJ91" s="46" t="s">
        <v>62</v>
      </c>
    </row>
    <row r="92" spans="4:36">
      <c r="D92" s="46"/>
      <c r="E92" s="46">
        <v>82</v>
      </c>
      <c r="F92" s="46">
        <v>5.5</v>
      </c>
      <c r="G92" s="46">
        <v>-40</v>
      </c>
      <c r="H92" s="46">
        <v>1</v>
      </c>
      <c r="I92" s="46" t="s">
        <v>136</v>
      </c>
      <c r="J92" s="46" t="s">
        <v>138</v>
      </c>
      <c r="K92" s="46" t="s">
        <v>627</v>
      </c>
      <c r="L92" s="46" t="s">
        <v>625</v>
      </c>
      <c r="N92">
        <v>9.0999999999999908</v>
      </c>
      <c r="O92">
        <v>-8.1999999999999993</v>
      </c>
      <c r="AF92" s="46" t="s">
        <v>150</v>
      </c>
      <c r="AH92" s="46" t="s">
        <v>140</v>
      </c>
      <c r="AJ92" s="46" t="s">
        <v>62</v>
      </c>
    </row>
    <row r="93" spans="4:36">
      <c r="D93" s="46"/>
      <c r="E93" s="46">
        <v>83</v>
      </c>
      <c r="F93" s="46">
        <v>4.5</v>
      </c>
      <c r="G93" s="46">
        <v>150</v>
      </c>
      <c r="H93" s="46">
        <v>1</v>
      </c>
      <c r="I93" s="46" t="s">
        <v>136</v>
      </c>
      <c r="J93" s="46" t="s">
        <v>138</v>
      </c>
      <c r="K93" s="46" t="s">
        <v>627</v>
      </c>
      <c r="L93" s="46" t="s">
        <v>625</v>
      </c>
      <c r="N93">
        <v>9.1999999999999904</v>
      </c>
      <c r="O93">
        <v>-8.4</v>
      </c>
      <c r="AF93" s="46" t="s">
        <v>134</v>
      </c>
      <c r="AH93" s="46" t="s">
        <v>146</v>
      </c>
      <c r="AJ93" s="46" t="s">
        <v>62</v>
      </c>
    </row>
    <row r="94" spans="4:36">
      <c r="D94" s="46"/>
      <c r="E94" s="46">
        <v>84</v>
      </c>
      <c r="F94" s="46">
        <v>5.5</v>
      </c>
      <c r="G94" s="46">
        <v>150</v>
      </c>
      <c r="H94" s="46">
        <v>1</v>
      </c>
      <c r="I94" s="46" t="s">
        <v>136</v>
      </c>
      <c r="J94" s="46" t="s">
        <v>138</v>
      </c>
      <c r="K94" s="46" t="s">
        <v>627</v>
      </c>
      <c r="L94" s="46" t="s">
        <v>625</v>
      </c>
      <c r="N94">
        <v>9.2999999999999901</v>
      </c>
      <c r="O94">
        <v>-8.6</v>
      </c>
      <c r="AF94" s="46" t="s">
        <v>81</v>
      </c>
    </row>
    <row r="95" spans="4:36">
      <c r="D95" s="46"/>
      <c r="E95" s="46">
        <v>85</v>
      </c>
      <c r="F95" s="46">
        <v>4.5</v>
      </c>
      <c r="G95" s="46">
        <v>-40</v>
      </c>
      <c r="H95" s="46">
        <v>2</v>
      </c>
      <c r="I95" s="46" t="s">
        <v>136</v>
      </c>
      <c r="J95" s="46" t="s">
        <v>138</v>
      </c>
      <c r="K95" s="46" t="s">
        <v>627</v>
      </c>
      <c r="L95" s="46" t="s">
        <v>625</v>
      </c>
      <c r="N95">
        <v>9.3999999999999897</v>
      </c>
      <c r="O95">
        <v>-8.8000000000000007</v>
      </c>
      <c r="AF95" s="46" t="s">
        <v>65</v>
      </c>
      <c r="AH95" s="46">
        <v>16.3</v>
      </c>
      <c r="AJ95" s="46">
        <v>1.6</v>
      </c>
    </row>
    <row r="96" spans="4:36">
      <c r="D96" s="46"/>
      <c r="E96" s="46">
        <v>86</v>
      </c>
      <c r="F96" s="46">
        <v>5.5</v>
      </c>
      <c r="G96" s="46">
        <v>-40</v>
      </c>
      <c r="H96" s="46">
        <v>2</v>
      </c>
      <c r="I96" s="46" t="s">
        <v>136</v>
      </c>
      <c r="J96" s="46" t="s">
        <v>138</v>
      </c>
      <c r="K96" s="46" t="s">
        <v>627</v>
      </c>
      <c r="L96" s="46" t="s">
        <v>625</v>
      </c>
      <c r="N96">
        <v>9.4999999999999893</v>
      </c>
      <c r="O96">
        <v>-9</v>
      </c>
      <c r="AF96" s="46" t="s">
        <v>615</v>
      </c>
      <c r="AH96" s="46">
        <v>-22.6</v>
      </c>
      <c r="AJ96" s="46">
        <v>6.8</v>
      </c>
    </row>
    <row r="97" spans="4:36">
      <c r="D97" s="46"/>
      <c r="E97" s="46">
        <v>87</v>
      </c>
      <c r="F97" s="46">
        <v>4.5</v>
      </c>
      <c r="G97" s="46">
        <v>150</v>
      </c>
      <c r="H97" s="46">
        <v>2</v>
      </c>
      <c r="I97" s="46" t="s">
        <v>136</v>
      </c>
      <c r="J97" s="46" t="s">
        <v>138</v>
      </c>
      <c r="K97" s="46" t="s">
        <v>627</v>
      </c>
      <c r="L97" s="46" t="s">
        <v>625</v>
      </c>
      <c r="N97">
        <v>9.5999999999999908</v>
      </c>
      <c r="O97">
        <v>-9.1999999999999993</v>
      </c>
    </row>
    <row r="98" spans="4:36">
      <c r="D98" s="46"/>
      <c r="E98" s="46">
        <v>88</v>
      </c>
      <c r="F98" s="46">
        <v>5.5</v>
      </c>
      <c r="G98" s="46">
        <v>150</v>
      </c>
      <c r="H98" s="46">
        <v>2</v>
      </c>
      <c r="I98" s="46" t="s">
        <v>136</v>
      </c>
      <c r="J98" s="46" t="s">
        <v>138</v>
      </c>
      <c r="K98" s="46" t="s">
        <v>627</v>
      </c>
      <c r="L98" s="46" t="s">
        <v>625</v>
      </c>
      <c r="N98">
        <v>9.6999999999999904</v>
      </c>
      <c r="O98">
        <v>-9.4</v>
      </c>
    </row>
    <row r="99" spans="4:36">
      <c r="D99" s="46" t="s">
        <v>233</v>
      </c>
      <c r="E99" s="46">
        <v>89</v>
      </c>
      <c r="F99" s="46">
        <v>4.5</v>
      </c>
      <c r="G99" s="46">
        <v>-40</v>
      </c>
      <c r="H99" s="46">
        <v>0</v>
      </c>
      <c r="I99" s="46" t="s">
        <v>138</v>
      </c>
      <c r="J99" s="46" t="s">
        <v>138</v>
      </c>
      <c r="K99" s="46" t="s">
        <v>628</v>
      </c>
      <c r="L99" s="46" t="s">
        <v>625</v>
      </c>
      <c r="N99">
        <v>9.7999999999999901</v>
      </c>
      <c r="O99">
        <v>-9.6</v>
      </c>
      <c r="AF99" s="46" t="s">
        <v>641</v>
      </c>
    </row>
    <row r="100" spans="4:36">
      <c r="D100" s="46"/>
      <c r="E100" s="46">
        <v>90</v>
      </c>
      <c r="F100" s="46">
        <v>5.5</v>
      </c>
      <c r="G100" s="46">
        <v>-40</v>
      </c>
      <c r="H100" s="46">
        <v>0</v>
      </c>
      <c r="I100" s="46" t="s">
        <v>138</v>
      </c>
      <c r="J100" s="46" t="s">
        <v>138</v>
      </c>
      <c r="K100" s="46" t="s">
        <v>628</v>
      </c>
      <c r="L100" s="46" t="s">
        <v>625</v>
      </c>
      <c r="N100">
        <v>9.8999999999999897</v>
      </c>
      <c r="O100">
        <v>-9.8000000000000007</v>
      </c>
      <c r="AH100" s="46" t="s">
        <v>72</v>
      </c>
      <c r="AJ100" s="46" t="s">
        <v>617</v>
      </c>
    </row>
    <row r="101" spans="4:36">
      <c r="D101" s="46"/>
      <c r="E101" s="46">
        <v>91</v>
      </c>
      <c r="F101" s="46">
        <v>4.5</v>
      </c>
      <c r="G101" s="46">
        <v>150</v>
      </c>
      <c r="H101" s="46">
        <v>0</v>
      </c>
      <c r="I101" s="46" t="s">
        <v>138</v>
      </c>
      <c r="J101" s="46" t="s">
        <v>138</v>
      </c>
      <c r="K101" s="46" t="s">
        <v>628</v>
      </c>
      <c r="L101" s="46" t="s">
        <v>625</v>
      </c>
      <c r="N101">
        <v>9.9999999999999893</v>
      </c>
      <c r="O101">
        <v>-10</v>
      </c>
      <c r="AF101" s="46" t="s">
        <v>614</v>
      </c>
      <c r="AH101" s="46">
        <v>10</v>
      </c>
      <c r="AJ101" s="46">
        <v>156</v>
      </c>
    </row>
    <row r="102" spans="4:36">
      <c r="D102" s="46"/>
      <c r="E102" s="46">
        <v>92</v>
      </c>
      <c r="F102" s="46">
        <v>5.5</v>
      </c>
      <c r="G102" s="46">
        <v>150</v>
      </c>
      <c r="H102" s="46">
        <v>0</v>
      </c>
      <c r="I102" s="46" t="s">
        <v>138</v>
      </c>
      <c r="J102" s="46" t="s">
        <v>138</v>
      </c>
      <c r="K102" s="46" t="s">
        <v>628</v>
      </c>
      <c r="L102" s="46" t="s">
        <v>625</v>
      </c>
      <c r="N102">
        <v>10.1</v>
      </c>
      <c r="O102">
        <v>-10.199999999999999</v>
      </c>
      <c r="AF102" s="46" t="s">
        <v>66</v>
      </c>
      <c r="AH102" s="46">
        <v>5.5</v>
      </c>
      <c r="AJ102" s="46">
        <v>5.5</v>
      </c>
    </row>
    <row r="103" spans="4:36">
      <c r="D103" s="46"/>
      <c r="E103" s="46">
        <v>93</v>
      </c>
      <c r="F103" s="46">
        <v>4.5</v>
      </c>
      <c r="G103" s="46">
        <v>-40</v>
      </c>
      <c r="H103" s="46">
        <v>1</v>
      </c>
      <c r="I103" s="46" t="s">
        <v>138</v>
      </c>
      <c r="J103" s="46" t="s">
        <v>138</v>
      </c>
      <c r="K103" s="46" t="s">
        <v>628</v>
      </c>
      <c r="L103" s="46" t="s">
        <v>625</v>
      </c>
      <c r="N103">
        <v>10.199999999999999</v>
      </c>
      <c r="O103">
        <v>-10.4</v>
      </c>
      <c r="AF103" s="46" t="s">
        <v>67</v>
      </c>
      <c r="AH103" s="46">
        <v>150</v>
      </c>
      <c r="AJ103" s="46">
        <v>150</v>
      </c>
    </row>
    <row r="104" spans="4:36">
      <c r="D104" s="46"/>
      <c r="E104" s="46">
        <v>94</v>
      </c>
      <c r="F104" s="46">
        <v>5.5</v>
      </c>
      <c r="G104" s="46">
        <v>-40</v>
      </c>
      <c r="H104" s="46">
        <v>1</v>
      </c>
      <c r="I104" s="46" t="s">
        <v>138</v>
      </c>
      <c r="J104" s="46" t="s">
        <v>138</v>
      </c>
      <c r="K104" s="46" t="s">
        <v>628</v>
      </c>
      <c r="L104" s="46" t="s">
        <v>625</v>
      </c>
      <c r="N104">
        <v>10.3</v>
      </c>
      <c r="O104">
        <v>-10.6</v>
      </c>
      <c r="AF104" s="46" t="s">
        <v>622</v>
      </c>
      <c r="AH104" s="46">
        <v>0</v>
      </c>
      <c r="AJ104" s="46">
        <v>1</v>
      </c>
    </row>
    <row r="105" spans="4:36">
      <c r="D105" s="46"/>
      <c r="E105" s="46">
        <v>95</v>
      </c>
      <c r="F105" s="46">
        <v>4.5</v>
      </c>
      <c r="G105" s="46">
        <v>150</v>
      </c>
      <c r="H105" s="46">
        <v>1</v>
      </c>
      <c r="I105" s="46" t="s">
        <v>138</v>
      </c>
      <c r="J105" s="46" t="s">
        <v>138</v>
      </c>
      <c r="K105" s="46" t="s">
        <v>628</v>
      </c>
      <c r="L105" s="46" t="s">
        <v>625</v>
      </c>
      <c r="N105">
        <v>10.4</v>
      </c>
      <c r="O105">
        <v>-10.8</v>
      </c>
      <c r="AF105" s="46" t="s">
        <v>132</v>
      </c>
      <c r="AH105" s="46" t="s">
        <v>62</v>
      </c>
      <c r="AJ105" s="46" t="s">
        <v>140</v>
      </c>
    </row>
    <row r="106" spans="4:36">
      <c r="D106" s="46"/>
      <c r="E106" s="46">
        <v>96</v>
      </c>
      <c r="F106" s="46">
        <v>5.5</v>
      </c>
      <c r="G106" s="46">
        <v>150</v>
      </c>
      <c r="H106" s="46">
        <v>1</v>
      </c>
      <c r="I106" s="46" t="s">
        <v>138</v>
      </c>
      <c r="J106" s="46" t="s">
        <v>138</v>
      </c>
      <c r="K106" s="46" t="s">
        <v>628</v>
      </c>
      <c r="L106" s="46" t="s">
        <v>625</v>
      </c>
      <c r="N106">
        <v>10.5</v>
      </c>
      <c r="O106">
        <v>-11</v>
      </c>
      <c r="AF106" s="46" t="s">
        <v>148</v>
      </c>
      <c r="AH106" s="46" t="s">
        <v>62</v>
      </c>
      <c r="AJ106" s="46" t="s">
        <v>140</v>
      </c>
    </row>
    <row r="107" spans="4:36">
      <c r="D107" s="46"/>
      <c r="E107" s="46">
        <v>97</v>
      </c>
      <c r="F107" s="46">
        <v>4.5</v>
      </c>
      <c r="G107" s="46">
        <v>-40</v>
      </c>
      <c r="H107" s="46">
        <v>2</v>
      </c>
      <c r="I107" s="46" t="s">
        <v>138</v>
      </c>
      <c r="J107" s="46" t="s">
        <v>138</v>
      </c>
      <c r="K107" s="46" t="s">
        <v>628</v>
      </c>
      <c r="L107" s="46" t="s">
        <v>625</v>
      </c>
      <c r="N107">
        <v>10.6</v>
      </c>
      <c r="O107">
        <v>-11.2</v>
      </c>
      <c r="AF107" s="46" t="s">
        <v>150</v>
      </c>
      <c r="AH107" s="46" t="s">
        <v>62</v>
      </c>
      <c r="AJ107" s="46" t="s">
        <v>140</v>
      </c>
    </row>
    <row r="108" spans="4:36">
      <c r="D108" s="46"/>
      <c r="E108" s="46">
        <v>98</v>
      </c>
      <c r="F108" s="46">
        <v>5.5</v>
      </c>
      <c r="G108" s="46">
        <v>-40</v>
      </c>
      <c r="H108" s="46">
        <v>2</v>
      </c>
      <c r="I108" s="46" t="s">
        <v>138</v>
      </c>
      <c r="J108" s="46" t="s">
        <v>138</v>
      </c>
      <c r="K108" s="46" t="s">
        <v>628</v>
      </c>
      <c r="L108" s="46" t="s">
        <v>625</v>
      </c>
      <c r="N108">
        <v>10.7</v>
      </c>
      <c r="O108">
        <v>-11.4</v>
      </c>
      <c r="AF108" s="46" t="s">
        <v>134</v>
      </c>
      <c r="AH108" s="46" t="s">
        <v>62</v>
      </c>
      <c r="AJ108" s="46" t="s">
        <v>146</v>
      </c>
    </row>
    <row r="109" spans="4:36">
      <c r="D109" s="46"/>
      <c r="E109" s="46">
        <v>99</v>
      </c>
      <c r="F109" s="46">
        <v>4.5</v>
      </c>
      <c r="G109" s="46">
        <v>150</v>
      </c>
      <c r="H109" s="46">
        <v>2</v>
      </c>
      <c r="I109" s="46" t="s">
        <v>138</v>
      </c>
      <c r="J109" s="46" t="s">
        <v>138</v>
      </c>
      <c r="K109" s="46" t="s">
        <v>628</v>
      </c>
      <c r="L109" s="46" t="s">
        <v>625</v>
      </c>
      <c r="N109">
        <v>10.8</v>
      </c>
      <c r="O109">
        <v>-11.6</v>
      </c>
      <c r="AF109" s="46" t="s">
        <v>81</v>
      </c>
    </row>
    <row r="110" spans="4:36">
      <c r="D110" s="46"/>
      <c r="E110" s="46">
        <v>100</v>
      </c>
      <c r="F110" s="46">
        <v>5.5</v>
      </c>
      <c r="G110" s="46">
        <v>150</v>
      </c>
      <c r="H110" s="46">
        <v>2</v>
      </c>
      <c r="I110" s="46" t="s">
        <v>138</v>
      </c>
      <c r="J110" s="46" t="s">
        <v>138</v>
      </c>
      <c r="K110" s="46" t="s">
        <v>628</v>
      </c>
      <c r="L110" s="46" t="s">
        <v>625</v>
      </c>
      <c r="N110">
        <v>10.9</v>
      </c>
      <c r="O110">
        <v>-11.8</v>
      </c>
      <c r="AF110" s="46" t="s">
        <v>65</v>
      </c>
      <c r="AH110" s="46">
        <v>1.9</v>
      </c>
      <c r="AJ110" s="46">
        <v>16.5</v>
      </c>
    </row>
    <row r="111" spans="4:36">
      <c r="D111" s="46" t="s">
        <v>234</v>
      </c>
      <c r="E111" s="46">
        <v>101</v>
      </c>
      <c r="F111" s="46">
        <v>4.5</v>
      </c>
      <c r="G111" s="46">
        <v>-40</v>
      </c>
      <c r="H111" s="46">
        <v>0</v>
      </c>
      <c r="I111" s="46" t="s">
        <v>140</v>
      </c>
      <c r="J111" s="46" t="s">
        <v>138</v>
      </c>
      <c r="K111" s="46" t="s">
        <v>629</v>
      </c>
      <c r="L111" s="46" t="s">
        <v>625</v>
      </c>
      <c r="N111">
        <v>11</v>
      </c>
      <c r="O111">
        <v>-12</v>
      </c>
      <c r="AF111" s="46" t="s">
        <v>615</v>
      </c>
      <c r="AH111" s="46">
        <v>6.2</v>
      </c>
      <c r="AJ111" s="46">
        <v>-23</v>
      </c>
    </row>
    <row r="112" spans="4:36">
      <c r="D112" s="46"/>
      <c r="E112" s="46">
        <v>102</v>
      </c>
      <c r="F112" s="46">
        <v>5.5</v>
      </c>
      <c r="G112" s="46">
        <v>-40</v>
      </c>
      <c r="H112" s="46">
        <v>0</v>
      </c>
      <c r="I112" s="46" t="s">
        <v>140</v>
      </c>
      <c r="J112" s="46" t="s">
        <v>138</v>
      </c>
      <c r="K112" s="46" t="s">
        <v>629</v>
      </c>
      <c r="L112" s="46" t="s">
        <v>625</v>
      </c>
      <c r="N112">
        <v>11.1</v>
      </c>
      <c r="O112">
        <v>-12.2</v>
      </c>
    </row>
    <row r="113" spans="4:36">
      <c r="D113" s="46"/>
      <c r="E113" s="46">
        <v>103</v>
      </c>
      <c r="F113" s="46">
        <v>4.5</v>
      </c>
      <c r="G113" s="46">
        <v>150</v>
      </c>
      <c r="H113" s="46">
        <v>0</v>
      </c>
      <c r="I113" s="46" t="s">
        <v>140</v>
      </c>
      <c r="J113" s="46" t="s">
        <v>138</v>
      </c>
      <c r="K113" s="46" t="s">
        <v>629</v>
      </c>
      <c r="L113" s="46" t="s">
        <v>625</v>
      </c>
      <c r="N113">
        <v>11.2</v>
      </c>
      <c r="O113">
        <v>-12.4</v>
      </c>
    </row>
    <row r="114" spans="4:36">
      <c r="D114" s="46"/>
      <c r="E114" s="46">
        <v>104</v>
      </c>
      <c r="F114" s="46">
        <v>5.5</v>
      </c>
      <c r="G114" s="46">
        <v>150</v>
      </c>
      <c r="H114" s="46">
        <v>0</v>
      </c>
      <c r="I114" s="46" t="s">
        <v>140</v>
      </c>
      <c r="J114" s="46" t="s">
        <v>138</v>
      </c>
      <c r="K114" s="46" t="s">
        <v>629</v>
      </c>
      <c r="L114" s="46" t="s">
        <v>625</v>
      </c>
      <c r="N114">
        <v>11.3</v>
      </c>
      <c r="O114">
        <v>-12.6</v>
      </c>
      <c r="AF114" s="46" t="s">
        <v>641</v>
      </c>
    </row>
    <row r="115" spans="4:36">
      <c r="D115" s="46"/>
      <c r="E115" s="46">
        <v>105</v>
      </c>
      <c r="F115" s="46">
        <v>4.5</v>
      </c>
      <c r="G115" s="46">
        <v>-40</v>
      </c>
      <c r="H115" s="46">
        <v>1</v>
      </c>
      <c r="I115" s="46" t="s">
        <v>140</v>
      </c>
      <c r="J115" s="46" t="s">
        <v>138</v>
      </c>
      <c r="K115" s="46" t="s">
        <v>629</v>
      </c>
      <c r="L115" s="46" t="s">
        <v>625</v>
      </c>
      <c r="N115">
        <v>11.4</v>
      </c>
      <c r="O115">
        <v>-12.8</v>
      </c>
      <c r="AH115" s="46" t="s">
        <v>74</v>
      </c>
      <c r="AJ115" s="46" t="s">
        <v>618</v>
      </c>
    </row>
    <row r="116" spans="4:36">
      <c r="D116" s="46"/>
      <c r="E116" s="46">
        <v>106</v>
      </c>
      <c r="F116" s="46">
        <v>5.5</v>
      </c>
      <c r="G116" s="46">
        <v>-40</v>
      </c>
      <c r="H116" s="46">
        <v>1</v>
      </c>
      <c r="I116" s="46" t="s">
        <v>140</v>
      </c>
      <c r="J116" s="46" t="s">
        <v>138</v>
      </c>
      <c r="K116" s="46" t="s">
        <v>629</v>
      </c>
      <c r="L116" s="46" t="s">
        <v>625</v>
      </c>
      <c r="N116">
        <v>11.5</v>
      </c>
      <c r="O116">
        <v>-13</v>
      </c>
      <c r="AF116" s="46" t="s">
        <v>614</v>
      </c>
      <c r="AH116" s="46">
        <v>156</v>
      </c>
      <c r="AJ116" s="46">
        <v>188</v>
      </c>
    </row>
    <row r="117" spans="4:36">
      <c r="D117" s="46"/>
      <c r="E117" s="46">
        <v>107</v>
      </c>
      <c r="F117" s="46">
        <v>4.5</v>
      </c>
      <c r="G117" s="46">
        <v>150</v>
      </c>
      <c r="H117" s="46">
        <v>1</v>
      </c>
      <c r="I117" s="46" t="s">
        <v>140</v>
      </c>
      <c r="J117" s="46" t="s">
        <v>138</v>
      </c>
      <c r="K117" s="46" t="s">
        <v>629</v>
      </c>
      <c r="L117" s="46" t="s">
        <v>625</v>
      </c>
      <c r="N117">
        <v>11.6</v>
      </c>
      <c r="O117">
        <v>-13.2</v>
      </c>
      <c r="AF117" s="46" t="s">
        <v>66</v>
      </c>
      <c r="AH117" s="46">
        <v>5.5</v>
      </c>
      <c r="AJ117" s="46">
        <v>5.5</v>
      </c>
    </row>
    <row r="118" spans="4:36">
      <c r="D118" s="46"/>
      <c r="E118" s="46">
        <v>108</v>
      </c>
      <c r="F118" s="46">
        <v>5.5</v>
      </c>
      <c r="G118" s="46">
        <v>150</v>
      </c>
      <c r="H118" s="46">
        <v>1</v>
      </c>
      <c r="I118" s="46" t="s">
        <v>140</v>
      </c>
      <c r="J118" s="46" t="s">
        <v>138</v>
      </c>
      <c r="K118" s="46" t="s">
        <v>629</v>
      </c>
      <c r="L118" s="46" t="s">
        <v>625</v>
      </c>
      <c r="N118">
        <v>11.7</v>
      </c>
      <c r="O118">
        <v>-13.4</v>
      </c>
      <c r="AF118" s="46" t="s">
        <v>67</v>
      </c>
      <c r="AH118" s="46">
        <v>150</v>
      </c>
      <c r="AJ118" s="46">
        <v>150</v>
      </c>
    </row>
    <row r="119" spans="4:36">
      <c r="D119" s="46"/>
      <c r="E119" s="46">
        <v>109</v>
      </c>
      <c r="F119" s="46">
        <v>4.5</v>
      </c>
      <c r="G119" s="46">
        <v>-40</v>
      </c>
      <c r="H119" s="46">
        <v>2</v>
      </c>
      <c r="I119" s="46" t="s">
        <v>140</v>
      </c>
      <c r="J119" s="46" t="s">
        <v>138</v>
      </c>
      <c r="K119" s="46" t="s">
        <v>629</v>
      </c>
      <c r="L119" s="46" t="s">
        <v>625</v>
      </c>
      <c r="N119">
        <v>11.8</v>
      </c>
      <c r="O119">
        <v>-13.6</v>
      </c>
      <c r="AF119" s="46" t="s">
        <v>622</v>
      </c>
      <c r="AH119" s="46">
        <v>1</v>
      </c>
      <c r="AJ119" s="46">
        <v>0</v>
      </c>
    </row>
    <row r="120" spans="4:36">
      <c r="D120" s="46"/>
      <c r="E120" s="46">
        <v>110</v>
      </c>
      <c r="F120" s="46">
        <v>5.5</v>
      </c>
      <c r="G120" s="46">
        <v>-40</v>
      </c>
      <c r="H120" s="46">
        <v>2</v>
      </c>
      <c r="I120" s="46" t="s">
        <v>140</v>
      </c>
      <c r="J120" s="46" t="s">
        <v>138</v>
      </c>
      <c r="K120" s="46" t="s">
        <v>629</v>
      </c>
      <c r="L120" s="46" t="s">
        <v>625</v>
      </c>
      <c r="N120">
        <v>11.9</v>
      </c>
      <c r="O120">
        <v>-13.8</v>
      </c>
      <c r="AF120" s="46" t="s">
        <v>132</v>
      </c>
      <c r="AH120" s="46" t="s">
        <v>140</v>
      </c>
      <c r="AJ120" s="46" t="s">
        <v>138</v>
      </c>
    </row>
    <row r="121" spans="4:36">
      <c r="D121" s="46"/>
      <c r="E121" s="46">
        <v>111</v>
      </c>
      <c r="F121" s="46">
        <v>4.5</v>
      </c>
      <c r="G121" s="46">
        <v>150</v>
      </c>
      <c r="H121" s="46">
        <v>2</v>
      </c>
      <c r="I121" s="46" t="s">
        <v>140</v>
      </c>
      <c r="J121" s="46" t="s">
        <v>138</v>
      </c>
      <c r="K121" s="46" t="s">
        <v>629</v>
      </c>
      <c r="L121" s="46" t="s">
        <v>625</v>
      </c>
      <c r="N121">
        <v>12</v>
      </c>
      <c r="O121">
        <v>-14</v>
      </c>
      <c r="AF121" s="46" t="s">
        <v>148</v>
      </c>
      <c r="AH121" s="46" t="s">
        <v>140</v>
      </c>
      <c r="AJ121" s="46" t="s">
        <v>142</v>
      </c>
    </row>
    <row r="122" spans="4:36">
      <c r="D122" s="46"/>
      <c r="E122" s="46">
        <v>112</v>
      </c>
      <c r="F122" s="46">
        <v>5.5</v>
      </c>
      <c r="G122" s="46">
        <v>150</v>
      </c>
      <c r="H122" s="46">
        <v>2</v>
      </c>
      <c r="I122" s="46" t="s">
        <v>140</v>
      </c>
      <c r="J122" s="46" t="s">
        <v>138</v>
      </c>
      <c r="K122" s="46" t="s">
        <v>629</v>
      </c>
      <c r="L122" s="46" t="s">
        <v>625</v>
      </c>
      <c r="N122">
        <v>12.1</v>
      </c>
      <c r="O122">
        <v>-14.2</v>
      </c>
      <c r="AF122" s="46" t="s">
        <v>150</v>
      </c>
      <c r="AH122" s="46" t="s">
        <v>140</v>
      </c>
      <c r="AJ122" s="46" t="s">
        <v>138</v>
      </c>
    </row>
    <row r="123" spans="4:36">
      <c r="D123" s="46" t="s">
        <v>235</v>
      </c>
      <c r="E123" s="46">
        <v>113</v>
      </c>
      <c r="F123" s="46">
        <v>4.5</v>
      </c>
      <c r="G123" s="46">
        <v>-40</v>
      </c>
      <c r="H123" s="46">
        <v>0</v>
      </c>
      <c r="I123" s="46" t="s">
        <v>142</v>
      </c>
      <c r="J123" s="46" t="s">
        <v>138</v>
      </c>
      <c r="K123" s="46" t="s">
        <v>630</v>
      </c>
      <c r="L123" s="46" t="s">
        <v>625</v>
      </c>
      <c r="N123">
        <v>12.2</v>
      </c>
      <c r="O123">
        <v>-14.4</v>
      </c>
      <c r="AF123" s="46" t="s">
        <v>134</v>
      </c>
      <c r="AH123" s="46" t="s">
        <v>146</v>
      </c>
      <c r="AJ123" s="46" t="s">
        <v>146</v>
      </c>
    </row>
    <row r="124" spans="4:36">
      <c r="D124" s="46"/>
      <c r="E124" s="46">
        <v>114</v>
      </c>
      <c r="F124" s="46">
        <v>5.5</v>
      </c>
      <c r="G124" s="46">
        <v>-40</v>
      </c>
      <c r="H124" s="46">
        <v>0</v>
      </c>
      <c r="I124" s="46" t="s">
        <v>142</v>
      </c>
      <c r="J124" s="46" t="s">
        <v>138</v>
      </c>
      <c r="K124" s="46" t="s">
        <v>630</v>
      </c>
      <c r="L124" s="46" t="s">
        <v>625</v>
      </c>
      <c r="N124">
        <v>12.3</v>
      </c>
      <c r="O124">
        <v>-14.6</v>
      </c>
      <c r="AF124" s="46" t="s">
        <v>81</v>
      </c>
    </row>
    <row r="125" spans="4:36">
      <c r="D125" s="46"/>
      <c r="E125" s="46">
        <v>115</v>
      </c>
      <c r="F125" s="46">
        <v>4.5</v>
      </c>
      <c r="G125" s="46">
        <v>150</v>
      </c>
      <c r="H125" s="46">
        <v>0</v>
      </c>
      <c r="I125" s="46" t="s">
        <v>142</v>
      </c>
      <c r="J125" s="46" t="s">
        <v>138</v>
      </c>
      <c r="K125" s="46" t="s">
        <v>630</v>
      </c>
      <c r="L125" s="46" t="s">
        <v>625</v>
      </c>
      <c r="N125">
        <v>12.4</v>
      </c>
      <c r="O125">
        <v>-14.8</v>
      </c>
      <c r="AF125" s="46" t="s">
        <v>65</v>
      </c>
      <c r="AH125" s="46">
        <v>16.5</v>
      </c>
      <c r="AJ125" s="46">
        <v>4.7999999999999901</v>
      </c>
    </row>
    <row r="126" spans="4:36">
      <c r="D126" s="46"/>
      <c r="E126" s="46">
        <v>116</v>
      </c>
      <c r="F126" s="46">
        <v>5.5</v>
      </c>
      <c r="G126" s="46">
        <v>150</v>
      </c>
      <c r="H126" s="46">
        <v>0</v>
      </c>
      <c r="I126" s="46" t="s">
        <v>142</v>
      </c>
      <c r="J126" s="46" t="s">
        <v>138</v>
      </c>
      <c r="K126" s="46" t="s">
        <v>630</v>
      </c>
      <c r="L126" s="46" t="s">
        <v>625</v>
      </c>
      <c r="N126">
        <v>12.5</v>
      </c>
      <c r="O126">
        <v>-15</v>
      </c>
      <c r="AF126" s="46" t="s">
        <v>615</v>
      </c>
      <c r="AH126" s="46">
        <v>-23</v>
      </c>
      <c r="AJ126" s="46">
        <v>7.8</v>
      </c>
    </row>
    <row r="127" spans="4:36">
      <c r="D127" s="46"/>
      <c r="E127" s="46">
        <v>117</v>
      </c>
      <c r="F127" s="46">
        <v>4.5</v>
      </c>
      <c r="G127" s="46">
        <v>-40</v>
      </c>
      <c r="H127" s="46">
        <v>1</v>
      </c>
      <c r="I127" s="46" t="s">
        <v>142</v>
      </c>
      <c r="J127" s="46" t="s">
        <v>138</v>
      </c>
      <c r="K127" s="46" t="s">
        <v>630</v>
      </c>
      <c r="L127" s="46" t="s">
        <v>625</v>
      </c>
      <c r="N127">
        <v>12.6</v>
      </c>
      <c r="O127">
        <v>-15.2</v>
      </c>
    </row>
    <row r="128" spans="4:36">
      <c r="D128" s="46"/>
      <c r="E128" s="46">
        <v>118</v>
      </c>
      <c r="F128" s="46">
        <v>5.5</v>
      </c>
      <c r="G128" s="46">
        <v>-40</v>
      </c>
      <c r="H128" s="46">
        <v>1</v>
      </c>
      <c r="I128" s="46" t="s">
        <v>142</v>
      </c>
      <c r="J128" s="46" t="s">
        <v>138</v>
      </c>
      <c r="K128" s="46" t="s">
        <v>630</v>
      </c>
      <c r="L128" s="46" t="s">
        <v>625</v>
      </c>
      <c r="N128">
        <v>12.7</v>
      </c>
      <c r="O128">
        <v>-15.4</v>
      </c>
    </row>
    <row r="129" spans="4:15">
      <c r="D129" s="46"/>
      <c r="E129" s="46">
        <v>119</v>
      </c>
      <c r="F129" s="46">
        <v>4.5</v>
      </c>
      <c r="G129" s="46">
        <v>150</v>
      </c>
      <c r="H129" s="46">
        <v>1</v>
      </c>
      <c r="I129" s="46" t="s">
        <v>142</v>
      </c>
      <c r="J129" s="46" t="s">
        <v>138</v>
      </c>
      <c r="K129" s="46" t="s">
        <v>630</v>
      </c>
      <c r="L129" s="46" t="s">
        <v>625</v>
      </c>
      <c r="N129">
        <v>12.8</v>
      </c>
      <c r="O129">
        <v>-15.6</v>
      </c>
    </row>
    <row r="130" spans="4:15">
      <c r="D130" s="46"/>
      <c r="E130" s="46">
        <v>120</v>
      </c>
      <c r="F130" s="46">
        <v>5.5</v>
      </c>
      <c r="G130" s="46">
        <v>150</v>
      </c>
      <c r="H130" s="46">
        <v>1</v>
      </c>
      <c r="I130" s="46" t="s">
        <v>142</v>
      </c>
      <c r="J130" s="46" t="s">
        <v>138</v>
      </c>
      <c r="K130" s="46" t="s">
        <v>630</v>
      </c>
      <c r="L130" s="46" t="s">
        <v>625</v>
      </c>
      <c r="N130">
        <v>12.9</v>
      </c>
      <c r="O130">
        <v>-15.8</v>
      </c>
    </row>
    <row r="131" spans="4:15">
      <c r="D131" s="46"/>
      <c r="E131" s="46">
        <v>121</v>
      </c>
      <c r="F131" s="46">
        <v>4.5</v>
      </c>
      <c r="G131" s="46">
        <v>-40</v>
      </c>
      <c r="H131" s="46">
        <v>2</v>
      </c>
      <c r="I131" s="46" t="s">
        <v>142</v>
      </c>
      <c r="J131" s="46" t="s">
        <v>138</v>
      </c>
      <c r="K131" s="46" t="s">
        <v>630</v>
      </c>
      <c r="L131" s="46" t="s">
        <v>625</v>
      </c>
      <c r="N131">
        <v>13</v>
      </c>
      <c r="O131">
        <v>-16</v>
      </c>
    </row>
    <row r="132" spans="4:15">
      <c r="D132" s="46"/>
      <c r="E132" s="46">
        <v>122</v>
      </c>
      <c r="F132" s="46">
        <v>5.5</v>
      </c>
      <c r="G132" s="46">
        <v>-40</v>
      </c>
      <c r="H132" s="46">
        <v>2</v>
      </c>
      <c r="I132" s="46" t="s">
        <v>142</v>
      </c>
      <c r="J132" s="46" t="s">
        <v>138</v>
      </c>
      <c r="K132" s="46" t="s">
        <v>630</v>
      </c>
      <c r="L132" s="46" t="s">
        <v>625</v>
      </c>
      <c r="N132">
        <v>13.1</v>
      </c>
      <c r="O132">
        <v>-16.2</v>
      </c>
    </row>
    <row r="133" spans="4:15">
      <c r="D133" s="46"/>
      <c r="E133" s="46">
        <v>123</v>
      </c>
      <c r="F133" s="46">
        <v>4.5</v>
      </c>
      <c r="G133" s="46">
        <v>150</v>
      </c>
      <c r="H133" s="46">
        <v>2</v>
      </c>
      <c r="I133" s="46" t="s">
        <v>142</v>
      </c>
      <c r="J133" s="46" t="s">
        <v>138</v>
      </c>
      <c r="K133" s="46" t="s">
        <v>630</v>
      </c>
      <c r="L133" s="46" t="s">
        <v>625</v>
      </c>
      <c r="N133">
        <v>13.2</v>
      </c>
      <c r="O133">
        <v>-16.399999999999999</v>
      </c>
    </row>
    <row r="134" spans="4:15">
      <c r="D134" s="46"/>
      <c r="E134" s="46">
        <v>124</v>
      </c>
      <c r="F134" s="46">
        <v>5.5</v>
      </c>
      <c r="G134" s="46">
        <v>150</v>
      </c>
      <c r="H134" s="46">
        <v>2</v>
      </c>
      <c r="I134" s="46" t="s">
        <v>142</v>
      </c>
      <c r="J134" s="46" t="s">
        <v>138</v>
      </c>
      <c r="K134" s="46" t="s">
        <v>630</v>
      </c>
      <c r="L134" s="46" t="s">
        <v>625</v>
      </c>
      <c r="N134">
        <v>13.3</v>
      </c>
      <c r="O134">
        <v>-16.600000000000001</v>
      </c>
    </row>
    <row r="135" spans="4:15">
      <c r="D135" s="46" t="s">
        <v>236</v>
      </c>
      <c r="E135" s="46">
        <v>125</v>
      </c>
      <c r="F135" s="46">
        <v>4.5</v>
      </c>
      <c r="G135" s="46">
        <v>-40</v>
      </c>
      <c r="H135" s="46">
        <v>0</v>
      </c>
      <c r="I135" s="46" t="s">
        <v>136</v>
      </c>
      <c r="J135" s="46" t="s">
        <v>140</v>
      </c>
      <c r="K135" s="46" t="s">
        <v>627</v>
      </c>
      <c r="L135" s="46" t="s">
        <v>626</v>
      </c>
      <c r="N135">
        <v>13.4</v>
      </c>
      <c r="O135">
        <v>-16.8</v>
      </c>
    </row>
    <row r="136" spans="4:15">
      <c r="D136" s="46"/>
      <c r="E136" s="46">
        <v>126</v>
      </c>
      <c r="F136" s="46">
        <v>5.5</v>
      </c>
      <c r="G136" s="46">
        <v>-40</v>
      </c>
      <c r="H136" s="46">
        <v>0</v>
      </c>
      <c r="I136" s="46" t="s">
        <v>136</v>
      </c>
      <c r="J136" s="46" t="s">
        <v>140</v>
      </c>
      <c r="K136" s="46" t="s">
        <v>627</v>
      </c>
      <c r="L136" s="46" t="s">
        <v>626</v>
      </c>
      <c r="N136">
        <v>13.5</v>
      </c>
      <c r="O136">
        <v>-17</v>
      </c>
    </row>
    <row r="137" spans="4:15">
      <c r="D137" s="46"/>
      <c r="E137" s="46">
        <v>127</v>
      </c>
      <c r="F137" s="46">
        <v>4.5</v>
      </c>
      <c r="G137" s="46">
        <v>150</v>
      </c>
      <c r="H137" s="46">
        <v>0</v>
      </c>
      <c r="I137" s="46" t="s">
        <v>136</v>
      </c>
      <c r="J137" s="46" t="s">
        <v>140</v>
      </c>
      <c r="K137" s="46" t="s">
        <v>627</v>
      </c>
      <c r="L137" s="46" t="s">
        <v>626</v>
      </c>
      <c r="N137">
        <v>13.6</v>
      </c>
      <c r="O137">
        <v>-17.2</v>
      </c>
    </row>
    <row r="138" spans="4:15">
      <c r="D138" s="46"/>
      <c r="E138" s="46">
        <v>128</v>
      </c>
      <c r="F138" s="46">
        <v>5.5</v>
      </c>
      <c r="G138" s="46">
        <v>150</v>
      </c>
      <c r="H138" s="46">
        <v>0</v>
      </c>
      <c r="I138" s="46" t="s">
        <v>136</v>
      </c>
      <c r="J138" s="46" t="s">
        <v>140</v>
      </c>
      <c r="K138" s="46" t="s">
        <v>627</v>
      </c>
      <c r="L138" s="46" t="s">
        <v>626</v>
      </c>
      <c r="N138">
        <v>13.7</v>
      </c>
      <c r="O138">
        <v>-17.399999999999999</v>
      </c>
    </row>
    <row r="139" spans="4:15">
      <c r="D139" s="46"/>
      <c r="E139" s="46">
        <v>129</v>
      </c>
      <c r="F139" s="46">
        <v>4.5</v>
      </c>
      <c r="G139" s="46">
        <v>-40</v>
      </c>
      <c r="H139" s="46">
        <v>1</v>
      </c>
      <c r="I139" s="46" t="s">
        <v>136</v>
      </c>
      <c r="J139" s="46" t="s">
        <v>140</v>
      </c>
      <c r="K139" s="46" t="s">
        <v>627</v>
      </c>
      <c r="L139" s="46" t="s">
        <v>626</v>
      </c>
      <c r="N139">
        <v>13.8</v>
      </c>
      <c r="O139">
        <v>-17.600000000000001</v>
      </c>
    </row>
    <row r="140" spans="4:15">
      <c r="D140" s="46"/>
      <c r="E140" s="46">
        <v>130</v>
      </c>
      <c r="F140" s="46">
        <v>5.5</v>
      </c>
      <c r="G140" s="46">
        <v>-40</v>
      </c>
      <c r="H140" s="46">
        <v>1</v>
      </c>
      <c r="I140" s="46" t="s">
        <v>136</v>
      </c>
      <c r="J140" s="46" t="s">
        <v>140</v>
      </c>
      <c r="K140" s="46" t="s">
        <v>627</v>
      </c>
      <c r="L140" s="46" t="s">
        <v>626</v>
      </c>
      <c r="N140">
        <v>13.9</v>
      </c>
      <c r="O140">
        <v>-17.8</v>
      </c>
    </row>
    <row r="141" spans="4:15">
      <c r="D141" s="46"/>
      <c r="E141" s="46">
        <v>131</v>
      </c>
      <c r="F141" s="46">
        <v>4.5</v>
      </c>
      <c r="G141" s="46">
        <v>150</v>
      </c>
      <c r="H141" s="46">
        <v>1</v>
      </c>
      <c r="I141" s="46" t="s">
        <v>136</v>
      </c>
      <c r="J141" s="46" t="s">
        <v>140</v>
      </c>
      <c r="K141" s="46" t="s">
        <v>627</v>
      </c>
      <c r="L141" s="46" t="s">
        <v>626</v>
      </c>
      <c r="N141">
        <v>14</v>
      </c>
      <c r="O141">
        <v>-18</v>
      </c>
    </row>
    <row r="142" spans="4:15">
      <c r="D142" s="46"/>
      <c r="E142" s="46">
        <v>132</v>
      </c>
      <c r="F142" s="46">
        <v>5.5</v>
      </c>
      <c r="G142" s="46">
        <v>150</v>
      </c>
      <c r="H142" s="46">
        <v>1</v>
      </c>
      <c r="I142" s="46" t="s">
        <v>136</v>
      </c>
      <c r="J142" s="46" t="s">
        <v>140</v>
      </c>
      <c r="K142" s="46" t="s">
        <v>627</v>
      </c>
      <c r="L142" s="46" t="s">
        <v>626</v>
      </c>
      <c r="N142">
        <v>14.1</v>
      </c>
      <c r="O142">
        <v>-18.2</v>
      </c>
    </row>
    <row r="143" spans="4:15">
      <c r="D143" s="46"/>
      <c r="E143" s="46">
        <v>133</v>
      </c>
      <c r="F143" s="46">
        <v>4.5</v>
      </c>
      <c r="G143" s="46">
        <v>-40</v>
      </c>
      <c r="H143" s="46">
        <v>2</v>
      </c>
      <c r="I143" s="46" t="s">
        <v>136</v>
      </c>
      <c r="J143" s="46" t="s">
        <v>140</v>
      </c>
      <c r="K143" s="46" t="s">
        <v>627</v>
      </c>
      <c r="L143" s="46" t="s">
        <v>626</v>
      </c>
      <c r="N143">
        <v>14.2</v>
      </c>
      <c r="O143">
        <v>-18.399999999999999</v>
      </c>
    </row>
    <row r="144" spans="4:15">
      <c r="D144" s="46"/>
      <c r="E144" s="46">
        <v>134</v>
      </c>
      <c r="F144" s="46">
        <v>5.5</v>
      </c>
      <c r="G144" s="46">
        <v>-40</v>
      </c>
      <c r="H144" s="46">
        <v>2</v>
      </c>
      <c r="I144" s="46" t="s">
        <v>136</v>
      </c>
      <c r="J144" s="46" t="s">
        <v>140</v>
      </c>
      <c r="K144" s="46" t="s">
        <v>627</v>
      </c>
      <c r="L144" s="46" t="s">
        <v>626</v>
      </c>
      <c r="N144">
        <v>14.3</v>
      </c>
      <c r="O144">
        <v>-18.600000000000001</v>
      </c>
    </row>
    <row r="145" spans="4:15">
      <c r="D145" s="46"/>
      <c r="E145" s="46">
        <v>135</v>
      </c>
      <c r="F145" s="46">
        <v>4.5</v>
      </c>
      <c r="G145" s="46">
        <v>150</v>
      </c>
      <c r="H145" s="46">
        <v>2</v>
      </c>
      <c r="I145" s="46" t="s">
        <v>136</v>
      </c>
      <c r="J145" s="46" t="s">
        <v>140</v>
      </c>
      <c r="K145" s="46" t="s">
        <v>627</v>
      </c>
      <c r="L145" s="46" t="s">
        <v>626</v>
      </c>
      <c r="N145">
        <v>14.4</v>
      </c>
      <c r="O145">
        <v>-18.8</v>
      </c>
    </row>
    <row r="146" spans="4:15">
      <c r="D146" s="46"/>
      <c r="E146" s="46">
        <v>136</v>
      </c>
      <c r="F146" s="46">
        <v>5.5</v>
      </c>
      <c r="G146" s="46">
        <v>150</v>
      </c>
      <c r="H146" s="46">
        <v>2</v>
      </c>
      <c r="I146" s="46" t="s">
        <v>136</v>
      </c>
      <c r="J146" s="46" t="s">
        <v>140</v>
      </c>
      <c r="K146" s="46" t="s">
        <v>627</v>
      </c>
      <c r="L146" s="46" t="s">
        <v>626</v>
      </c>
      <c r="N146">
        <v>14.5</v>
      </c>
      <c r="O146">
        <v>-19</v>
      </c>
    </row>
    <row r="147" spans="4:15">
      <c r="D147" s="46" t="s">
        <v>237</v>
      </c>
      <c r="E147" s="46">
        <v>137</v>
      </c>
      <c r="F147" s="46">
        <v>4.5</v>
      </c>
      <c r="G147" s="46">
        <v>-40</v>
      </c>
      <c r="H147" s="46">
        <v>0</v>
      </c>
      <c r="I147" s="46" t="s">
        <v>138</v>
      </c>
      <c r="J147" s="46" t="s">
        <v>140</v>
      </c>
      <c r="K147" s="46" t="s">
        <v>628</v>
      </c>
      <c r="L147" s="46" t="s">
        <v>626</v>
      </c>
      <c r="N147">
        <v>14.6</v>
      </c>
      <c r="O147">
        <v>-19.2</v>
      </c>
    </row>
    <row r="148" spans="4:15">
      <c r="D148" s="46"/>
      <c r="E148" s="46">
        <v>138</v>
      </c>
      <c r="F148" s="46">
        <v>5.5</v>
      </c>
      <c r="G148" s="46">
        <v>-40</v>
      </c>
      <c r="H148" s="46">
        <v>0</v>
      </c>
      <c r="I148" s="46" t="s">
        <v>138</v>
      </c>
      <c r="J148" s="46" t="s">
        <v>140</v>
      </c>
      <c r="K148" s="46" t="s">
        <v>628</v>
      </c>
      <c r="L148" s="46" t="s">
        <v>626</v>
      </c>
      <c r="N148">
        <v>14.7</v>
      </c>
      <c r="O148">
        <v>-19.399999999999999</v>
      </c>
    </row>
    <row r="149" spans="4:15">
      <c r="D149" s="46"/>
      <c r="E149" s="46">
        <v>139</v>
      </c>
      <c r="F149" s="46">
        <v>4.5</v>
      </c>
      <c r="G149" s="46">
        <v>150</v>
      </c>
      <c r="H149" s="46">
        <v>0</v>
      </c>
      <c r="I149" s="46" t="s">
        <v>138</v>
      </c>
      <c r="J149" s="46" t="s">
        <v>140</v>
      </c>
      <c r="K149" s="46" t="s">
        <v>628</v>
      </c>
      <c r="L149" s="46" t="s">
        <v>626</v>
      </c>
      <c r="N149">
        <v>14.8</v>
      </c>
      <c r="O149">
        <v>-19.600000000000001</v>
      </c>
    </row>
    <row r="150" spans="4:15">
      <c r="D150" s="46"/>
      <c r="E150" s="46">
        <v>140</v>
      </c>
      <c r="F150" s="46">
        <v>5.5</v>
      </c>
      <c r="G150" s="46">
        <v>150</v>
      </c>
      <c r="H150" s="46">
        <v>0</v>
      </c>
      <c r="I150" s="46" t="s">
        <v>138</v>
      </c>
      <c r="J150" s="46" t="s">
        <v>140</v>
      </c>
      <c r="K150" s="46" t="s">
        <v>628</v>
      </c>
      <c r="L150" s="46" t="s">
        <v>626</v>
      </c>
      <c r="N150">
        <v>14.9</v>
      </c>
      <c r="O150">
        <v>-19.8</v>
      </c>
    </row>
    <row r="151" spans="4:15">
      <c r="D151" s="46"/>
      <c r="E151" s="46">
        <v>141</v>
      </c>
      <c r="F151" s="46">
        <v>4.5</v>
      </c>
      <c r="G151" s="46">
        <v>-40</v>
      </c>
      <c r="H151" s="46">
        <v>1</v>
      </c>
      <c r="I151" s="46" t="s">
        <v>138</v>
      </c>
      <c r="J151" s="46" t="s">
        <v>140</v>
      </c>
      <c r="K151" s="46" t="s">
        <v>628</v>
      </c>
      <c r="L151" s="46" t="s">
        <v>626</v>
      </c>
      <c r="N151">
        <v>15</v>
      </c>
      <c r="O151">
        <v>-20</v>
      </c>
    </row>
    <row r="152" spans="4:15">
      <c r="D152" s="46"/>
      <c r="E152" s="46">
        <v>142</v>
      </c>
      <c r="F152" s="46">
        <v>5.5</v>
      </c>
      <c r="G152" s="46">
        <v>-40</v>
      </c>
      <c r="H152" s="46">
        <v>1</v>
      </c>
      <c r="I152" s="46" t="s">
        <v>138</v>
      </c>
      <c r="J152" s="46" t="s">
        <v>140</v>
      </c>
      <c r="K152" s="46" t="s">
        <v>628</v>
      </c>
      <c r="L152" s="46" t="s">
        <v>626</v>
      </c>
      <c r="N152">
        <v>15.1</v>
      </c>
      <c r="O152">
        <v>-20.2</v>
      </c>
    </row>
    <row r="153" spans="4:15">
      <c r="D153" s="46"/>
      <c r="E153" s="46">
        <v>143</v>
      </c>
      <c r="F153" s="46">
        <v>4.5</v>
      </c>
      <c r="G153" s="46">
        <v>150</v>
      </c>
      <c r="H153" s="46">
        <v>1</v>
      </c>
      <c r="I153" s="46" t="s">
        <v>138</v>
      </c>
      <c r="J153" s="46" t="s">
        <v>140</v>
      </c>
      <c r="K153" s="46" t="s">
        <v>628</v>
      </c>
      <c r="L153" s="46" t="s">
        <v>626</v>
      </c>
      <c r="N153">
        <v>15.2</v>
      </c>
      <c r="O153">
        <v>-20.399999999999999</v>
      </c>
    </row>
    <row r="154" spans="4:15">
      <c r="D154" s="46"/>
      <c r="E154" s="46">
        <v>144</v>
      </c>
      <c r="F154" s="46">
        <v>5.5</v>
      </c>
      <c r="G154" s="46">
        <v>150</v>
      </c>
      <c r="H154" s="46">
        <v>1</v>
      </c>
      <c r="I154" s="46" t="s">
        <v>138</v>
      </c>
      <c r="J154" s="46" t="s">
        <v>140</v>
      </c>
      <c r="K154" s="46" t="s">
        <v>628</v>
      </c>
      <c r="L154" s="46" t="s">
        <v>626</v>
      </c>
      <c r="N154">
        <v>15.3</v>
      </c>
      <c r="O154">
        <v>-20.6</v>
      </c>
    </row>
    <row r="155" spans="4:15">
      <c r="D155" s="46"/>
      <c r="E155" s="46">
        <v>145</v>
      </c>
      <c r="F155" s="46">
        <v>4.5</v>
      </c>
      <c r="G155" s="46">
        <v>-40</v>
      </c>
      <c r="H155" s="46">
        <v>2</v>
      </c>
      <c r="I155" s="46" t="s">
        <v>138</v>
      </c>
      <c r="J155" s="46" t="s">
        <v>140</v>
      </c>
      <c r="K155" s="46" t="s">
        <v>628</v>
      </c>
      <c r="L155" s="46" t="s">
        <v>626</v>
      </c>
      <c r="N155">
        <v>15.4</v>
      </c>
      <c r="O155">
        <v>-20.8</v>
      </c>
    </row>
    <row r="156" spans="4:15">
      <c r="D156" s="46"/>
      <c r="E156" s="46">
        <v>146</v>
      </c>
      <c r="F156" s="46">
        <v>5.5</v>
      </c>
      <c r="G156" s="46">
        <v>-40</v>
      </c>
      <c r="H156" s="46">
        <v>2</v>
      </c>
      <c r="I156" s="46" t="s">
        <v>138</v>
      </c>
      <c r="J156" s="46" t="s">
        <v>140</v>
      </c>
      <c r="K156" s="46" t="s">
        <v>628</v>
      </c>
      <c r="L156" s="46" t="s">
        <v>626</v>
      </c>
      <c r="N156">
        <v>15.5</v>
      </c>
      <c r="O156">
        <v>-21</v>
      </c>
    </row>
    <row r="157" spans="4:15">
      <c r="D157" s="46"/>
      <c r="E157" s="46">
        <v>147</v>
      </c>
      <c r="F157" s="46">
        <v>4.5</v>
      </c>
      <c r="G157" s="46">
        <v>150</v>
      </c>
      <c r="H157" s="46">
        <v>2</v>
      </c>
      <c r="I157" s="46" t="s">
        <v>138</v>
      </c>
      <c r="J157" s="46" t="s">
        <v>140</v>
      </c>
      <c r="K157" s="46" t="s">
        <v>628</v>
      </c>
      <c r="L157" s="46" t="s">
        <v>626</v>
      </c>
      <c r="N157">
        <v>15.6</v>
      </c>
      <c r="O157">
        <v>-21.2</v>
      </c>
    </row>
    <row r="158" spans="4:15">
      <c r="D158" s="46"/>
      <c r="E158" s="46">
        <v>148</v>
      </c>
      <c r="F158" s="46">
        <v>5.5</v>
      </c>
      <c r="G158" s="46">
        <v>150</v>
      </c>
      <c r="H158" s="46">
        <v>2</v>
      </c>
      <c r="I158" s="46" t="s">
        <v>138</v>
      </c>
      <c r="J158" s="46" t="s">
        <v>140</v>
      </c>
      <c r="K158" s="46" t="s">
        <v>628</v>
      </c>
      <c r="L158" s="46" t="s">
        <v>626</v>
      </c>
      <c r="N158">
        <v>15.7</v>
      </c>
      <c r="O158">
        <v>-21.4</v>
      </c>
    </row>
    <row r="159" spans="4:15">
      <c r="D159" s="46" t="s">
        <v>238</v>
      </c>
      <c r="E159" s="46">
        <v>149</v>
      </c>
      <c r="F159" s="46">
        <v>4.5</v>
      </c>
      <c r="G159" s="46">
        <v>-40</v>
      </c>
      <c r="H159" s="46">
        <v>0</v>
      </c>
      <c r="I159" s="46" t="s">
        <v>140</v>
      </c>
      <c r="J159" s="46" t="s">
        <v>140</v>
      </c>
      <c r="K159" s="46" t="s">
        <v>629</v>
      </c>
      <c r="L159" s="46" t="s">
        <v>626</v>
      </c>
      <c r="N159">
        <v>15.8</v>
      </c>
      <c r="O159">
        <v>-21.6</v>
      </c>
    </row>
    <row r="160" spans="4:15">
      <c r="D160" s="46"/>
      <c r="E160" s="46">
        <v>150</v>
      </c>
      <c r="F160" s="46">
        <v>5.5</v>
      </c>
      <c r="G160" s="46">
        <v>-40</v>
      </c>
      <c r="H160" s="46">
        <v>0</v>
      </c>
      <c r="I160" s="46" t="s">
        <v>140</v>
      </c>
      <c r="J160" s="46" t="s">
        <v>140</v>
      </c>
      <c r="K160" s="46" t="s">
        <v>629</v>
      </c>
      <c r="L160" s="46" t="s">
        <v>626</v>
      </c>
      <c r="N160">
        <v>15.9</v>
      </c>
      <c r="O160">
        <v>-21.8</v>
      </c>
    </row>
    <row r="161" spans="4:15">
      <c r="D161" s="46"/>
      <c r="E161" s="46">
        <v>151</v>
      </c>
      <c r="F161" s="46">
        <v>4.5</v>
      </c>
      <c r="G161" s="46">
        <v>150</v>
      </c>
      <c r="H161" s="46">
        <v>0</v>
      </c>
      <c r="I161" s="46" t="s">
        <v>140</v>
      </c>
      <c r="J161" s="46" t="s">
        <v>140</v>
      </c>
      <c r="K161" s="46" t="s">
        <v>629</v>
      </c>
      <c r="L161" s="46" t="s">
        <v>626</v>
      </c>
      <c r="N161">
        <v>16</v>
      </c>
      <c r="O161">
        <v>-22</v>
      </c>
    </row>
    <row r="162" spans="4:15">
      <c r="D162" s="46"/>
      <c r="E162" s="46">
        <v>152</v>
      </c>
      <c r="F162" s="46">
        <v>5.5</v>
      </c>
      <c r="G162" s="46">
        <v>150</v>
      </c>
      <c r="H162" s="46">
        <v>0</v>
      </c>
      <c r="I162" s="46" t="s">
        <v>140</v>
      </c>
      <c r="J162" s="46" t="s">
        <v>140</v>
      </c>
      <c r="K162" s="46" t="s">
        <v>629</v>
      </c>
      <c r="L162" s="46" t="s">
        <v>626</v>
      </c>
      <c r="N162">
        <v>16.100000000000001</v>
      </c>
      <c r="O162">
        <v>-22.2</v>
      </c>
    </row>
    <row r="163" spans="4:15">
      <c r="D163" s="46"/>
      <c r="E163" s="46">
        <v>153</v>
      </c>
      <c r="F163" s="46">
        <v>4.5</v>
      </c>
      <c r="G163" s="46">
        <v>-40</v>
      </c>
      <c r="H163" s="46">
        <v>1</v>
      </c>
      <c r="I163" s="46" t="s">
        <v>140</v>
      </c>
      <c r="J163" s="46" t="s">
        <v>140</v>
      </c>
      <c r="K163" s="46" t="s">
        <v>629</v>
      </c>
      <c r="L163" s="46" t="s">
        <v>626</v>
      </c>
      <c r="N163">
        <v>16.2</v>
      </c>
      <c r="O163">
        <v>-22.4</v>
      </c>
    </row>
    <row r="164" spans="4:15">
      <c r="D164" s="46"/>
      <c r="E164" s="46">
        <v>154</v>
      </c>
      <c r="F164" s="46">
        <v>5.5</v>
      </c>
      <c r="G164" s="46">
        <v>-40</v>
      </c>
      <c r="H164" s="46">
        <v>1</v>
      </c>
      <c r="I164" s="46" t="s">
        <v>140</v>
      </c>
      <c r="J164" s="46" t="s">
        <v>140</v>
      </c>
      <c r="K164" s="46" t="s">
        <v>629</v>
      </c>
      <c r="L164" s="46" t="s">
        <v>626</v>
      </c>
      <c r="N164">
        <v>16.3</v>
      </c>
      <c r="O164">
        <v>-22.6</v>
      </c>
    </row>
    <row r="165" spans="4:15">
      <c r="D165" s="46"/>
      <c r="E165" s="46">
        <v>155</v>
      </c>
      <c r="F165" s="46">
        <v>4.5</v>
      </c>
      <c r="G165" s="46">
        <v>150</v>
      </c>
      <c r="H165" s="46">
        <v>1</v>
      </c>
      <c r="I165" s="46" t="s">
        <v>140</v>
      </c>
      <c r="J165" s="46" t="s">
        <v>140</v>
      </c>
      <c r="K165" s="46" t="s">
        <v>629</v>
      </c>
      <c r="L165" s="46" t="s">
        <v>626</v>
      </c>
      <c r="N165">
        <v>16.399999999999999</v>
      </c>
      <c r="O165">
        <v>-22.8</v>
      </c>
    </row>
    <row r="166" spans="4:15">
      <c r="D166" s="46"/>
      <c r="E166" s="46">
        <v>156</v>
      </c>
      <c r="F166" s="46">
        <v>5.5</v>
      </c>
      <c r="G166" s="46">
        <v>150</v>
      </c>
      <c r="H166" s="46">
        <v>1</v>
      </c>
      <c r="I166" s="46" t="s">
        <v>140</v>
      </c>
      <c r="J166" s="46" t="s">
        <v>140</v>
      </c>
      <c r="K166" s="46" t="s">
        <v>629</v>
      </c>
      <c r="L166" s="46" t="s">
        <v>626</v>
      </c>
      <c r="N166">
        <v>16.5</v>
      </c>
      <c r="O166">
        <v>-23</v>
      </c>
    </row>
    <row r="167" spans="4:15">
      <c r="D167" s="46"/>
      <c r="E167" s="46">
        <v>157</v>
      </c>
      <c r="F167" s="46">
        <v>4.5</v>
      </c>
      <c r="G167" s="46">
        <v>-40</v>
      </c>
      <c r="H167" s="46">
        <v>2</v>
      </c>
      <c r="I167" s="46" t="s">
        <v>140</v>
      </c>
      <c r="J167" s="46" t="s">
        <v>140</v>
      </c>
      <c r="K167" s="46" t="s">
        <v>629</v>
      </c>
      <c r="L167" s="46" t="s">
        <v>626</v>
      </c>
      <c r="N167">
        <v>1.7</v>
      </c>
      <c r="O167">
        <v>6.6</v>
      </c>
    </row>
    <row r="168" spans="4:15">
      <c r="D168" s="46"/>
      <c r="E168" s="46">
        <v>158</v>
      </c>
      <c r="F168" s="46">
        <v>5.5</v>
      </c>
      <c r="G168" s="46">
        <v>-40</v>
      </c>
      <c r="H168" s="46">
        <v>2</v>
      </c>
      <c r="I168" s="46" t="s">
        <v>140</v>
      </c>
      <c r="J168" s="46" t="s">
        <v>140</v>
      </c>
      <c r="K168" s="46" t="s">
        <v>629</v>
      </c>
      <c r="L168" s="46" t="s">
        <v>626</v>
      </c>
      <c r="N168">
        <v>1.8</v>
      </c>
      <c r="O168">
        <v>6.4</v>
      </c>
    </row>
    <row r="169" spans="4:15">
      <c r="D169" s="46"/>
      <c r="E169" s="46">
        <v>159</v>
      </c>
      <c r="F169" s="46">
        <v>4.5</v>
      </c>
      <c r="G169" s="46">
        <v>150</v>
      </c>
      <c r="H169" s="46">
        <v>2</v>
      </c>
      <c r="I169" s="46" t="s">
        <v>140</v>
      </c>
      <c r="J169" s="46" t="s">
        <v>140</v>
      </c>
      <c r="K169" s="46" t="s">
        <v>629</v>
      </c>
      <c r="L169" s="46" t="s">
        <v>626</v>
      </c>
      <c r="N169">
        <v>1.9</v>
      </c>
      <c r="O169">
        <v>6.2</v>
      </c>
    </row>
    <row r="170" spans="4:15">
      <c r="D170" s="46"/>
      <c r="E170" s="46">
        <v>160</v>
      </c>
      <c r="F170" s="46">
        <v>5.5</v>
      </c>
      <c r="G170" s="46">
        <v>150</v>
      </c>
      <c r="H170" s="46">
        <v>2</v>
      </c>
      <c r="I170" s="46" t="s">
        <v>140</v>
      </c>
      <c r="J170" s="46" t="s">
        <v>140</v>
      </c>
      <c r="K170" s="46" t="s">
        <v>629</v>
      </c>
      <c r="L170" s="46" t="s">
        <v>626</v>
      </c>
      <c r="N170">
        <v>2</v>
      </c>
      <c r="O170">
        <v>6</v>
      </c>
    </row>
    <row r="171" spans="4:15">
      <c r="D171" s="46" t="s">
        <v>239</v>
      </c>
      <c r="E171" s="46">
        <v>161</v>
      </c>
      <c r="F171" s="46">
        <v>4.5</v>
      </c>
      <c r="G171" s="46">
        <v>-40</v>
      </c>
      <c r="H171" s="46">
        <v>0</v>
      </c>
      <c r="I171" s="46" t="s">
        <v>142</v>
      </c>
      <c r="J171" s="46" t="s">
        <v>140</v>
      </c>
      <c r="K171" s="46" t="s">
        <v>630</v>
      </c>
      <c r="L171" s="46" t="s">
        <v>626</v>
      </c>
      <c r="N171">
        <v>2.1</v>
      </c>
      <c r="O171">
        <v>5.8</v>
      </c>
    </row>
    <row r="172" spans="4:15">
      <c r="D172" s="46"/>
      <c r="E172" s="46">
        <v>162</v>
      </c>
      <c r="F172" s="46">
        <v>5.5</v>
      </c>
      <c r="G172" s="46">
        <v>-40</v>
      </c>
      <c r="H172" s="46">
        <v>0</v>
      </c>
      <c r="I172" s="46" t="s">
        <v>142</v>
      </c>
      <c r="J172" s="46" t="s">
        <v>140</v>
      </c>
      <c r="K172" s="46" t="s">
        <v>630</v>
      </c>
      <c r="L172" s="46" t="s">
        <v>626</v>
      </c>
      <c r="N172">
        <v>2.2000000000000002</v>
      </c>
      <c r="O172">
        <v>5.6</v>
      </c>
    </row>
    <row r="173" spans="4:15">
      <c r="D173" s="46"/>
      <c r="E173" s="46">
        <v>163</v>
      </c>
      <c r="F173" s="46">
        <v>4.5</v>
      </c>
      <c r="G173" s="46">
        <v>150</v>
      </c>
      <c r="H173" s="46">
        <v>0</v>
      </c>
      <c r="I173" s="46" t="s">
        <v>142</v>
      </c>
      <c r="J173" s="46" t="s">
        <v>140</v>
      </c>
      <c r="K173" s="46" t="s">
        <v>630</v>
      </c>
      <c r="L173" s="46" t="s">
        <v>626</v>
      </c>
      <c r="N173">
        <v>16.5</v>
      </c>
      <c r="O173">
        <v>5.4</v>
      </c>
    </row>
    <row r="174" spans="4:15">
      <c r="D174" s="46"/>
      <c r="E174" s="46">
        <v>164</v>
      </c>
      <c r="F174" s="46">
        <v>5.5</v>
      </c>
      <c r="G174" s="46">
        <v>150</v>
      </c>
      <c r="H174" s="46">
        <v>0</v>
      </c>
      <c r="I174" s="46" t="s">
        <v>142</v>
      </c>
      <c r="J174" s="46" t="s">
        <v>140</v>
      </c>
      <c r="K174" s="46" t="s">
        <v>630</v>
      </c>
      <c r="L174" s="46" t="s">
        <v>626</v>
      </c>
      <c r="N174">
        <v>2.4</v>
      </c>
      <c r="O174">
        <v>5.2</v>
      </c>
    </row>
    <row r="175" spans="4:15">
      <c r="D175" s="46"/>
      <c r="E175" s="46">
        <v>165</v>
      </c>
      <c r="F175" s="46">
        <v>4.5</v>
      </c>
      <c r="G175" s="46">
        <v>-40</v>
      </c>
      <c r="H175" s="46">
        <v>1</v>
      </c>
      <c r="I175" s="46" t="s">
        <v>142</v>
      </c>
      <c r="J175" s="46" t="s">
        <v>140</v>
      </c>
      <c r="K175" s="46" t="s">
        <v>630</v>
      </c>
      <c r="L175" s="46" t="s">
        <v>626</v>
      </c>
      <c r="N175">
        <v>2.5</v>
      </c>
      <c r="O175">
        <v>5</v>
      </c>
    </row>
    <row r="176" spans="4:15">
      <c r="D176" s="46"/>
      <c r="E176" s="46">
        <v>166</v>
      </c>
      <c r="F176" s="46">
        <v>5.5</v>
      </c>
      <c r="G176" s="46">
        <v>-40</v>
      </c>
      <c r="H176" s="46">
        <v>1</v>
      </c>
      <c r="I176" s="46" t="s">
        <v>142</v>
      </c>
      <c r="J176" s="46" t="s">
        <v>140</v>
      </c>
      <c r="K176" s="46" t="s">
        <v>630</v>
      </c>
      <c r="L176" s="46" t="s">
        <v>626</v>
      </c>
      <c r="N176">
        <v>2.6</v>
      </c>
      <c r="O176">
        <v>4.8</v>
      </c>
    </row>
    <row r="177" spans="4:15">
      <c r="D177" s="46"/>
      <c r="E177" s="46">
        <v>167</v>
      </c>
      <c r="F177" s="46">
        <v>4.5</v>
      </c>
      <c r="G177" s="46">
        <v>150</v>
      </c>
      <c r="H177" s="46">
        <v>1</v>
      </c>
      <c r="I177" s="46" t="s">
        <v>142</v>
      </c>
      <c r="J177" s="46" t="s">
        <v>140</v>
      </c>
      <c r="K177" s="46" t="s">
        <v>630</v>
      </c>
      <c r="L177" s="46" t="s">
        <v>626</v>
      </c>
      <c r="N177">
        <v>2.7</v>
      </c>
      <c r="O177">
        <v>4.5999999999999996</v>
      </c>
    </row>
    <row r="178" spans="4:15">
      <c r="D178" s="46"/>
      <c r="E178" s="46">
        <v>168</v>
      </c>
      <c r="F178" s="46">
        <v>5.5</v>
      </c>
      <c r="G178" s="46">
        <v>150</v>
      </c>
      <c r="H178" s="46">
        <v>1</v>
      </c>
      <c r="I178" s="46" t="s">
        <v>142</v>
      </c>
      <c r="J178" s="46" t="s">
        <v>140</v>
      </c>
      <c r="K178" s="46" t="s">
        <v>630</v>
      </c>
      <c r="L178" s="46" t="s">
        <v>626</v>
      </c>
      <c r="N178">
        <v>2.8</v>
      </c>
      <c r="O178">
        <v>4.4000000000000004</v>
      </c>
    </row>
    <row r="179" spans="4:15">
      <c r="D179" s="46"/>
      <c r="E179" s="46">
        <v>169</v>
      </c>
      <c r="F179" s="46">
        <v>4.5</v>
      </c>
      <c r="G179" s="46">
        <v>-40</v>
      </c>
      <c r="H179" s="46">
        <v>2</v>
      </c>
      <c r="I179" s="46" t="s">
        <v>142</v>
      </c>
      <c r="J179" s="46" t="s">
        <v>140</v>
      </c>
      <c r="K179" s="46" t="s">
        <v>630</v>
      </c>
      <c r="L179" s="46" t="s">
        <v>626</v>
      </c>
      <c r="N179">
        <v>2.9</v>
      </c>
      <c r="O179">
        <v>4.2</v>
      </c>
    </row>
    <row r="180" spans="4:15">
      <c r="D180" s="46"/>
      <c r="E180" s="46">
        <v>170</v>
      </c>
      <c r="F180" s="46">
        <v>5.5</v>
      </c>
      <c r="G180" s="46">
        <v>-40</v>
      </c>
      <c r="H180" s="46">
        <v>2</v>
      </c>
      <c r="I180" s="46" t="s">
        <v>142</v>
      </c>
      <c r="J180" s="46" t="s">
        <v>140</v>
      </c>
      <c r="K180" s="46" t="s">
        <v>630</v>
      </c>
      <c r="L180" s="46" t="s">
        <v>626</v>
      </c>
      <c r="N180">
        <v>3</v>
      </c>
      <c r="O180">
        <v>4</v>
      </c>
    </row>
    <row r="181" spans="4:15">
      <c r="D181" s="46"/>
      <c r="E181" s="46">
        <v>171</v>
      </c>
      <c r="F181" s="46">
        <v>4.5</v>
      </c>
      <c r="G181" s="46">
        <v>150</v>
      </c>
      <c r="H181" s="46">
        <v>2</v>
      </c>
      <c r="I181" s="46" t="s">
        <v>142</v>
      </c>
      <c r="J181" s="46" t="s">
        <v>140</v>
      </c>
      <c r="K181" s="46" t="s">
        <v>630</v>
      </c>
      <c r="L181" s="46" t="s">
        <v>626</v>
      </c>
      <c r="N181">
        <v>3.1</v>
      </c>
      <c r="O181">
        <v>3.8</v>
      </c>
    </row>
    <row r="182" spans="4:15">
      <c r="D182" s="46"/>
      <c r="E182" s="46">
        <v>172</v>
      </c>
      <c r="F182" s="46">
        <v>5.5</v>
      </c>
      <c r="G182" s="46">
        <v>150</v>
      </c>
      <c r="H182" s="46">
        <v>2</v>
      </c>
      <c r="I182" s="46" t="s">
        <v>142</v>
      </c>
      <c r="J182" s="46" t="s">
        <v>140</v>
      </c>
      <c r="K182" s="46" t="s">
        <v>630</v>
      </c>
      <c r="L182" s="46" t="s">
        <v>626</v>
      </c>
      <c r="N182">
        <v>3.2</v>
      </c>
      <c r="O182">
        <v>3.6</v>
      </c>
    </row>
    <row r="183" spans="4:15">
      <c r="D183" s="46" t="s">
        <v>240</v>
      </c>
      <c r="E183" s="46">
        <v>173</v>
      </c>
      <c r="F183" s="46">
        <v>4.5</v>
      </c>
      <c r="G183" s="46">
        <v>-40</v>
      </c>
      <c r="H183" s="46">
        <v>0</v>
      </c>
      <c r="I183" s="46" t="s">
        <v>136</v>
      </c>
      <c r="J183" s="46" t="s">
        <v>142</v>
      </c>
      <c r="K183" s="46" t="s">
        <v>627</v>
      </c>
      <c r="L183" s="46" t="s">
        <v>626</v>
      </c>
      <c r="N183">
        <v>3.3</v>
      </c>
      <c r="O183">
        <v>3.4</v>
      </c>
    </row>
    <row r="184" spans="4:15">
      <c r="D184" s="46"/>
      <c r="E184" s="46">
        <v>174</v>
      </c>
      <c r="F184" s="46">
        <v>5.5</v>
      </c>
      <c r="G184" s="46">
        <v>-40</v>
      </c>
      <c r="H184" s="46">
        <v>0</v>
      </c>
      <c r="I184" s="46" t="s">
        <v>136</v>
      </c>
      <c r="J184" s="46" t="s">
        <v>142</v>
      </c>
      <c r="K184" s="46" t="s">
        <v>627</v>
      </c>
      <c r="L184" s="46" t="s">
        <v>626</v>
      </c>
      <c r="N184">
        <v>3.4</v>
      </c>
      <c r="O184">
        <v>3.2</v>
      </c>
    </row>
    <row r="185" spans="4:15">
      <c r="D185" s="46"/>
      <c r="E185" s="46">
        <v>175</v>
      </c>
      <c r="F185" s="46">
        <v>4.5</v>
      </c>
      <c r="G185" s="46">
        <v>150</v>
      </c>
      <c r="H185" s="46">
        <v>0</v>
      </c>
      <c r="I185" s="46" t="s">
        <v>136</v>
      </c>
      <c r="J185" s="46" t="s">
        <v>142</v>
      </c>
      <c r="K185" s="46" t="s">
        <v>627</v>
      </c>
      <c r="L185" s="46" t="s">
        <v>626</v>
      </c>
      <c r="N185">
        <v>3.5</v>
      </c>
      <c r="O185">
        <v>-25</v>
      </c>
    </row>
    <row r="186" spans="4:15">
      <c r="D186" s="46"/>
      <c r="E186" s="46">
        <v>176</v>
      </c>
      <c r="F186" s="46">
        <v>5.5</v>
      </c>
      <c r="G186" s="46">
        <v>150</v>
      </c>
      <c r="H186" s="46">
        <v>0</v>
      </c>
      <c r="I186" s="46" t="s">
        <v>136</v>
      </c>
      <c r="J186" s="46" t="s">
        <v>142</v>
      </c>
      <c r="K186" s="46" t="s">
        <v>627</v>
      </c>
      <c r="L186" s="46" t="s">
        <v>626</v>
      </c>
      <c r="N186">
        <v>3.6</v>
      </c>
      <c r="O186">
        <v>2.8</v>
      </c>
    </row>
    <row r="187" spans="4:15">
      <c r="D187" s="46"/>
      <c r="E187" s="46">
        <v>177</v>
      </c>
      <c r="F187" s="46">
        <v>4.5</v>
      </c>
      <c r="G187" s="46">
        <v>-40</v>
      </c>
      <c r="H187" s="46">
        <v>1</v>
      </c>
      <c r="I187" s="46" t="s">
        <v>136</v>
      </c>
      <c r="J187" s="46" t="s">
        <v>142</v>
      </c>
      <c r="K187" s="46" t="s">
        <v>627</v>
      </c>
      <c r="L187" s="46" t="s">
        <v>626</v>
      </c>
      <c r="N187">
        <v>3.7</v>
      </c>
      <c r="O187">
        <v>2.6</v>
      </c>
    </row>
    <row r="188" spans="4:15">
      <c r="D188" s="46"/>
      <c r="E188" s="46">
        <v>178</v>
      </c>
      <c r="F188" s="46">
        <v>5.5</v>
      </c>
      <c r="G188" s="46">
        <v>-40</v>
      </c>
      <c r="H188" s="46">
        <v>1</v>
      </c>
      <c r="I188" s="46" t="s">
        <v>136</v>
      </c>
      <c r="J188" s="46" t="s">
        <v>142</v>
      </c>
      <c r="K188" s="46" t="s">
        <v>627</v>
      </c>
      <c r="L188" s="46" t="s">
        <v>626</v>
      </c>
      <c r="N188">
        <v>3.8</v>
      </c>
      <c r="O188">
        <v>2.4</v>
      </c>
    </row>
    <row r="189" spans="4:15">
      <c r="D189" s="46"/>
      <c r="E189" s="46">
        <v>179</v>
      </c>
      <c r="F189" s="46">
        <v>4.5</v>
      </c>
      <c r="G189" s="46">
        <v>150</v>
      </c>
      <c r="H189" s="46">
        <v>1</v>
      </c>
      <c r="I189" s="46" t="s">
        <v>136</v>
      </c>
      <c r="J189" s="46" t="s">
        <v>142</v>
      </c>
      <c r="K189" s="46" t="s">
        <v>627</v>
      </c>
      <c r="L189" s="46" t="s">
        <v>626</v>
      </c>
      <c r="N189">
        <v>3.9</v>
      </c>
      <c r="O189">
        <v>2.2000000000000002</v>
      </c>
    </row>
    <row r="190" spans="4:15">
      <c r="D190" s="46"/>
      <c r="E190" s="46">
        <v>180</v>
      </c>
      <c r="F190" s="46">
        <v>5.5</v>
      </c>
      <c r="G190" s="46">
        <v>150</v>
      </c>
      <c r="H190" s="46">
        <v>1</v>
      </c>
      <c r="I190" s="46" t="s">
        <v>136</v>
      </c>
      <c r="J190" s="46" t="s">
        <v>142</v>
      </c>
      <c r="K190" s="46" t="s">
        <v>627</v>
      </c>
      <c r="L190" s="46" t="s">
        <v>626</v>
      </c>
      <c r="N190">
        <v>4</v>
      </c>
      <c r="O190">
        <v>1.99999999999999</v>
      </c>
    </row>
    <row r="191" spans="4:15">
      <c r="D191" s="46"/>
      <c r="E191" s="46">
        <v>181</v>
      </c>
      <c r="F191" s="46">
        <v>4.5</v>
      </c>
      <c r="G191" s="46">
        <v>-40</v>
      </c>
      <c r="H191" s="46">
        <v>2</v>
      </c>
      <c r="I191" s="46" t="s">
        <v>136</v>
      </c>
      <c r="J191" s="46" t="s">
        <v>142</v>
      </c>
      <c r="K191" s="46" t="s">
        <v>627</v>
      </c>
      <c r="L191" s="46" t="s">
        <v>626</v>
      </c>
      <c r="N191">
        <v>4.0999999999999996</v>
      </c>
      <c r="O191">
        <v>1.7999999999999901</v>
      </c>
    </row>
    <row r="192" spans="4:15">
      <c r="D192" s="46"/>
      <c r="E192" s="46">
        <v>182</v>
      </c>
      <c r="F192" s="46">
        <v>5.5</v>
      </c>
      <c r="G192" s="46">
        <v>-40</v>
      </c>
      <c r="H192" s="46">
        <v>2</v>
      </c>
      <c r="I192" s="46" t="s">
        <v>136</v>
      </c>
      <c r="J192" s="46" t="s">
        <v>142</v>
      </c>
      <c r="K192" s="46" t="s">
        <v>627</v>
      </c>
      <c r="L192" s="46" t="s">
        <v>626</v>
      </c>
      <c r="N192">
        <v>4.2</v>
      </c>
      <c r="O192">
        <v>1.5999999999999901</v>
      </c>
    </row>
    <row r="193" spans="4:15">
      <c r="D193" s="46"/>
      <c r="E193" s="46">
        <v>183</v>
      </c>
      <c r="F193" s="46">
        <v>4.5</v>
      </c>
      <c r="G193" s="46">
        <v>150</v>
      </c>
      <c r="H193" s="46">
        <v>2</v>
      </c>
      <c r="I193" s="46" t="s">
        <v>136</v>
      </c>
      <c r="J193" s="46" t="s">
        <v>142</v>
      </c>
      <c r="K193" s="46" t="s">
        <v>627</v>
      </c>
      <c r="L193" s="46" t="s">
        <v>626</v>
      </c>
      <c r="N193">
        <v>4.3</v>
      </c>
      <c r="O193">
        <v>1.3999999999999899</v>
      </c>
    </row>
    <row r="194" spans="4:15">
      <c r="D194" s="46"/>
      <c r="E194" s="46">
        <v>184</v>
      </c>
      <c r="F194" s="46">
        <v>5.5</v>
      </c>
      <c r="G194" s="46">
        <v>150</v>
      </c>
      <c r="H194" s="46">
        <v>2</v>
      </c>
      <c r="I194" s="46" t="s">
        <v>136</v>
      </c>
      <c r="J194" s="46" t="s">
        <v>142</v>
      </c>
      <c r="K194" s="46" t="s">
        <v>627</v>
      </c>
      <c r="L194" s="46" t="s">
        <v>626</v>
      </c>
      <c r="N194">
        <v>4.4000000000000004</v>
      </c>
      <c r="O194">
        <v>1.19999999999999</v>
      </c>
    </row>
    <row r="195" spans="4:15">
      <c r="D195" s="46" t="s">
        <v>241</v>
      </c>
      <c r="E195" s="46">
        <v>185</v>
      </c>
      <c r="F195" s="46">
        <v>4.5</v>
      </c>
      <c r="G195" s="46">
        <v>-40</v>
      </c>
      <c r="H195" s="46">
        <v>0</v>
      </c>
      <c r="I195" s="46" t="s">
        <v>138</v>
      </c>
      <c r="J195" s="46" t="s">
        <v>142</v>
      </c>
      <c r="K195" s="46" t="s">
        <v>628</v>
      </c>
      <c r="L195" s="46" t="s">
        <v>626</v>
      </c>
      <c r="N195">
        <v>4.5</v>
      </c>
      <c r="O195">
        <v>0.99999999999999001</v>
      </c>
    </row>
    <row r="196" spans="4:15">
      <c r="D196" s="46"/>
      <c r="E196" s="46">
        <v>186</v>
      </c>
      <c r="F196" s="46">
        <v>5.5</v>
      </c>
      <c r="G196" s="46">
        <v>-40</v>
      </c>
      <c r="H196" s="46">
        <v>0</v>
      </c>
      <c r="I196" s="46" t="s">
        <v>138</v>
      </c>
      <c r="J196" s="46" t="s">
        <v>142</v>
      </c>
      <c r="K196" s="46" t="s">
        <v>628</v>
      </c>
      <c r="L196" s="46" t="s">
        <v>626</v>
      </c>
      <c r="N196">
        <v>4.5999999999999996</v>
      </c>
      <c r="O196">
        <v>0.79999999999999005</v>
      </c>
    </row>
    <row r="197" spans="4:15">
      <c r="D197" s="46"/>
      <c r="E197" s="46">
        <v>187</v>
      </c>
      <c r="F197" s="46">
        <v>4.5</v>
      </c>
      <c r="G197" s="46">
        <v>150</v>
      </c>
      <c r="H197" s="46">
        <v>0</v>
      </c>
      <c r="I197" s="46" t="s">
        <v>138</v>
      </c>
      <c r="J197" s="46" t="s">
        <v>142</v>
      </c>
      <c r="K197" s="46" t="s">
        <v>628</v>
      </c>
      <c r="L197" s="46" t="s">
        <v>626</v>
      </c>
      <c r="N197">
        <v>4.7</v>
      </c>
      <c r="O197">
        <v>0.59999999999998999</v>
      </c>
    </row>
    <row r="198" spans="4:15">
      <c r="D198" s="46"/>
      <c r="E198" s="46">
        <v>188</v>
      </c>
      <c r="F198" s="46">
        <v>5.5</v>
      </c>
      <c r="G198" s="46">
        <v>150</v>
      </c>
      <c r="H198" s="46">
        <v>0</v>
      </c>
      <c r="I198" s="46" t="s">
        <v>138</v>
      </c>
      <c r="J198" s="46" t="s">
        <v>142</v>
      </c>
      <c r="K198" s="46" t="s">
        <v>628</v>
      </c>
      <c r="L198" s="46" t="s">
        <v>626</v>
      </c>
      <c r="N198">
        <v>4.7999999999999901</v>
      </c>
      <c r="O198">
        <v>7.8</v>
      </c>
    </row>
    <row r="199" spans="4:15">
      <c r="D199" s="46"/>
      <c r="E199" s="46">
        <v>189</v>
      </c>
      <c r="F199" s="46">
        <v>4.5</v>
      </c>
      <c r="G199" s="46">
        <v>-40</v>
      </c>
      <c r="H199" s="46">
        <v>1</v>
      </c>
      <c r="I199" s="46" t="s">
        <v>138</v>
      </c>
      <c r="J199" s="46" t="s">
        <v>142</v>
      </c>
      <c r="K199" s="46" t="s">
        <v>628</v>
      </c>
      <c r="L199" s="46" t="s">
        <v>626</v>
      </c>
      <c r="N199">
        <v>4.8999999999999897</v>
      </c>
      <c r="O199">
        <v>0.19999999999998999</v>
      </c>
    </row>
    <row r="200" spans="4:15">
      <c r="D200" s="46"/>
      <c r="E200" s="46">
        <v>190</v>
      </c>
      <c r="F200" s="46">
        <v>5.5</v>
      </c>
      <c r="G200" s="46">
        <v>-40</v>
      </c>
      <c r="H200" s="46">
        <v>1</v>
      </c>
      <c r="I200" s="46" t="s">
        <v>138</v>
      </c>
      <c r="J200" s="46" t="s">
        <v>142</v>
      </c>
      <c r="K200" s="46" t="s">
        <v>628</v>
      </c>
      <c r="L200" s="46" t="s">
        <v>626</v>
      </c>
      <c r="N200">
        <v>5</v>
      </c>
      <c r="O200">
        <v>-25</v>
      </c>
    </row>
    <row r="201" spans="4:15">
      <c r="D201" s="46"/>
      <c r="E201" s="46">
        <v>191</v>
      </c>
      <c r="F201" s="46">
        <v>4.5</v>
      </c>
      <c r="G201" s="46">
        <v>150</v>
      </c>
      <c r="H201" s="46">
        <v>1</v>
      </c>
      <c r="I201" s="46" t="s">
        <v>138</v>
      </c>
      <c r="J201" s="46" t="s">
        <v>142</v>
      </c>
      <c r="K201" s="46" t="s">
        <v>628</v>
      </c>
      <c r="L201" s="46" t="s">
        <v>626</v>
      </c>
      <c r="N201">
        <v>5.0999999999999899</v>
      </c>
      <c r="O201">
        <v>-0.200000000000011</v>
      </c>
    </row>
    <row r="202" spans="4:15">
      <c r="D202" s="46"/>
      <c r="E202" s="46">
        <v>192</v>
      </c>
      <c r="F202" s="46">
        <v>5.5</v>
      </c>
      <c r="G202" s="46">
        <v>150</v>
      </c>
      <c r="H202" s="46">
        <v>1</v>
      </c>
      <c r="I202" s="46" t="s">
        <v>138</v>
      </c>
      <c r="J202" s="46" t="s">
        <v>142</v>
      </c>
      <c r="K202" s="46" t="s">
        <v>628</v>
      </c>
      <c r="L202" s="46" t="s">
        <v>626</v>
      </c>
      <c r="N202">
        <v>5.1999999999999904</v>
      </c>
      <c r="O202">
        <v>-0.40000000000001001</v>
      </c>
    </row>
    <row r="203" spans="4:15">
      <c r="D203" s="46"/>
      <c r="E203" s="46">
        <v>193</v>
      </c>
      <c r="F203" s="46">
        <v>4.5</v>
      </c>
      <c r="G203" s="46">
        <v>-40</v>
      </c>
      <c r="H203" s="46">
        <v>2</v>
      </c>
      <c r="I203" s="46" t="s">
        <v>138</v>
      </c>
      <c r="J203" s="46" t="s">
        <v>142</v>
      </c>
      <c r="K203" s="46" t="s">
        <v>628</v>
      </c>
      <c r="L203" s="46" t="s">
        <v>626</v>
      </c>
      <c r="N203">
        <v>5.2999999999999901</v>
      </c>
      <c r="O203">
        <v>-0.60000000000000897</v>
      </c>
    </row>
    <row r="204" spans="4:15">
      <c r="D204" s="46"/>
      <c r="E204" s="46">
        <v>194</v>
      </c>
      <c r="F204" s="46">
        <v>5.5</v>
      </c>
      <c r="G204" s="46">
        <v>-40</v>
      </c>
      <c r="H204" s="46">
        <v>2</v>
      </c>
      <c r="I204" s="46" t="s">
        <v>138</v>
      </c>
      <c r="J204" s="46" t="s">
        <v>142</v>
      </c>
      <c r="K204" s="46" t="s">
        <v>628</v>
      </c>
      <c r="L204" s="46" t="s">
        <v>626</v>
      </c>
      <c r="N204">
        <v>5.3999999999999897</v>
      </c>
      <c r="O204">
        <v>-0.80000000000001004</v>
      </c>
    </row>
    <row r="205" spans="4:15">
      <c r="D205" s="46"/>
      <c r="E205" s="46">
        <v>195</v>
      </c>
      <c r="F205" s="46">
        <v>4.5</v>
      </c>
      <c r="G205" s="46">
        <v>150</v>
      </c>
      <c r="H205" s="46">
        <v>2</v>
      </c>
      <c r="I205" s="46" t="s">
        <v>138</v>
      </c>
      <c r="J205" s="46" t="s">
        <v>142</v>
      </c>
      <c r="K205" s="46" t="s">
        <v>628</v>
      </c>
      <c r="L205" s="46" t="s">
        <v>626</v>
      </c>
      <c r="N205">
        <v>5.4999999999999902</v>
      </c>
      <c r="O205">
        <v>-1.00000000000001</v>
      </c>
    </row>
    <row r="206" spans="4:15">
      <c r="D206" s="46"/>
      <c r="E206" s="46">
        <v>196</v>
      </c>
      <c r="F206" s="46">
        <v>5.5</v>
      </c>
      <c r="G206" s="46">
        <v>150</v>
      </c>
      <c r="H206" s="46">
        <v>2</v>
      </c>
      <c r="I206" s="46" t="s">
        <v>138</v>
      </c>
      <c r="J206" s="46" t="s">
        <v>142</v>
      </c>
      <c r="K206" s="46" t="s">
        <v>628</v>
      </c>
      <c r="L206" s="46" t="s">
        <v>626</v>
      </c>
      <c r="N206">
        <v>5.5999999999999899</v>
      </c>
      <c r="O206">
        <v>-1.2000000000000099</v>
      </c>
    </row>
    <row r="207" spans="4:15">
      <c r="D207" s="46" t="s">
        <v>242</v>
      </c>
      <c r="E207" s="46">
        <v>197</v>
      </c>
      <c r="F207" s="46">
        <v>4.5</v>
      </c>
      <c r="G207" s="46">
        <v>-40</v>
      </c>
      <c r="H207" s="46">
        <v>0</v>
      </c>
      <c r="I207" s="46" t="s">
        <v>140</v>
      </c>
      <c r="J207" s="46" t="s">
        <v>142</v>
      </c>
      <c r="K207" s="46" t="s">
        <v>629</v>
      </c>
      <c r="L207" s="46" t="s">
        <v>626</v>
      </c>
      <c r="N207">
        <v>5.6999999999999904</v>
      </c>
      <c r="O207">
        <v>-1.4000000000000099</v>
      </c>
    </row>
    <row r="208" spans="4:15">
      <c r="D208" s="46"/>
      <c r="E208" s="46">
        <v>198</v>
      </c>
      <c r="F208" s="46">
        <v>5.5</v>
      </c>
      <c r="G208" s="46">
        <v>-40</v>
      </c>
      <c r="H208" s="46">
        <v>0</v>
      </c>
      <c r="I208" s="46" t="s">
        <v>140</v>
      </c>
      <c r="J208" s="46" t="s">
        <v>142</v>
      </c>
      <c r="K208" s="46" t="s">
        <v>629</v>
      </c>
      <c r="L208" s="46" t="s">
        <v>626</v>
      </c>
      <c r="N208">
        <v>5.7999999999999901</v>
      </c>
      <c r="O208">
        <v>-1.6000000000000101</v>
      </c>
    </row>
    <row r="209" spans="4:15">
      <c r="D209" s="46"/>
      <c r="E209" s="46">
        <v>199</v>
      </c>
      <c r="F209" s="46">
        <v>4.5</v>
      </c>
      <c r="G209" s="46">
        <v>150</v>
      </c>
      <c r="H209" s="46">
        <v>0</v>
      </c>
      <c r="I209" s="46" t="s">
        <v>140</v>
      </c>
      <c r="J209" s="46" t="s">
        <v>142</v>
      </c>
      <c r="K209" s="46" t="s">
        <v>629</v>
      </c>
      <c r="L209" s="46" t="s">
        <v>626</v>
      </c>
      <c r="N209">
        <v>5.8999999999999897</v>
      </c>
      <c r="O209">
        <v>-1.80000000000001</v>
      </c>
    </row>
    <row r="210" spans="4:15">
      <c r="D210" s="46"/>
      <c r="E210" s="46">
        <v>200</v>
      </c>
      <c r="F210" s="46">
        <v>5.5</v>
      </c>
      <c r="G210" s="46">
        <v>150</v>
      </c>
      <c r="H210" s="46">
        <v>0</v>
      </c>
      <c r="I210" s="46" t="s">
        <v>140</v>
      </c>
      <c r="J210" s="46" t="s">
        <v>142</v>
      </c>
      <c r="K210" s="46" t="s">
        <v>629</v>
      </c>
      <c r="L210" s="46" t="s">
        <v>626</v>
      </c>
      <c r="N210">
        <v>5.9999999999999902</v>
      </c>
      <c r="O210">
        <v>-2.0000000000000102</v>
      </c>
    </row>
    <row r="211" spans="4:15">
      <c r="D211" s="46"/>
      <c r="E211" s="46">
        <v>201</v>
      </c>
      <c r="F211" s="46">
        <v>4.5</v>
      </c>
      <c r="G211" s="46">
        <v>-40</v>
      </c>
      <c r="H211" s="46">
        <v>1</v>
      </c>
      <c r="I211" s="46" t="s">
        <v>140</v>
      </c>
      <c r="J211" s="46" t="s">
        <v>142</v>
      </c>
      <c r="K211" s="46" t="s">
        <v>629</v>
      </c>
      <c r="L211" s="46" t="s">
        <v>626</v>
      </c>
      <c r="N211">
        <v>6.0999999999999899</v>
      </c>
      <c r="O211">
        <v>-2.2000000000000002</v>
      </c>
    </row>
    <row r="212" spans="4:15">
      <c r="D212" s="46"/>
      <c r="E212" s="46">
        <v>202</v>
      </c>
      <c r="F212" s="46">
        <v>5.5</v>
      </c>
      <c r="G212" s="46">
        <v>-40</v>
      </c>
      <c r="H212" s="46">
        <v>1</v>
      </c>
      <c r="I212" s="46" t="s">
        <v>140</v>
      </c>
      <c r="J212" s="46" t="s">
        <v>142</v>
      </c>
      <c r="K212" s="46" t="s">
        <v>629</v>
      </c>
      <c r="L212" s="46" t="s">
        <v>626</v>
      </c>
      <c r="N212">
        <v>6.1999999999999904</v>
      </c>
      <c r="O212">
        <v>-2.4</v>
      </c>
    </row>
    <row r="213" spans="4:15">
      <c r="D213" s="46"/>
      <c r="E213" s="46">
        <v>203</v>
      </c>
      <c r="F213" s="46">
        <v>4.5</v>
      </c>
      <c r="G213" s="46">
        <v>150</v>
      </c>
      <c r="H213" s="46">
        <v>1</v>
      </c>
      <c r="I213" s="46" t="s">
        <v>140</v>
      </c>
      <c r="J213" s="46" t="s">
        <v>142</v>
      </c>
      <c r="K213" s="46" t="s">
        <v>629</v>
      </c>
      <c r="L213" s="46" t="s">
        <v>626</v>
      </c>
      <c r="N213">
        <v>6.2999999999999901</v>
      </c>
      <c r="O213">
        <v>-2.6</v>
      </c>
    </row>
    <row r="214" spans="4:15">
      <c r="D214" s="46"/>
      <c r="E214" s="46">
        <v>204</v>
      </c>
      <c r="F214" s="46">
        <v>5.5</v>
      </c>
      <c r="G214" s="46">
        <v>150</v>
      </c>
      <c r="H214" s="46">
        <v>1</v>
      </c>
      <c r="I214" s="46" t="s">
        <v>140</v>
      </c>
      <c r="J214" s="46" t="s">
        <v>142</v>
      </c>
      <c r="K214" s="46" t="s">
        <v>629</v>
      </c>
      <c r="L214" s="46" t="s">
        <v>626</v>
      </c>
      <c r="N214">
        <v>6.3999999999999897</v>
      </c>
      <c r="O214">
        <v>-2.8</v>
      </c>
    </row>
    <row r="215" spans="4:15">
      <c r="D215" s="46"/>
      <c r="E215" s="46">
        <v>205</v>
      </c>
      <c r="F215" s="46">
        <v>4.5</v>
      </c>
      <c r="G215" s="46">
        <v>-40</v>
      </c>
      <c r="H215" s="46">
        <v>2</v>
      </c>
      <c r="I215" s="46" t="s">
        <v>140</v>
      </c>
      <c r="J215" s="46" t="s">
        <v>142</v>
      </c>
      <c r="K215" s="46" t="s">
        <v>629</v>
      </c>
      <c r="L215" s="46" t="s">
        <v>626</v>
      </c>
      <c r="N215">
        <v>6.4999999999999902</v>
      </c>
      <c r="O215">
        <v>-3</v>
      </c>
    </row>
    <row r="216" spans="4:15">
      <c r="D216" s="46"/>
      <c r="E216" s="46">
        <v>206</v>
      </c>
      <c r="F216" s="46">
        <v>5.5</v>
      </c>
      <c r="G216" s="46">
        <v>-40</v>
      </c>
      <c r="H216" s="46">
        <v>2</v>
      </c>
      <c r="I216" s="46" t="s">
        <v>140</v>
      </c>
      <c r="J216" s="46" t="s">
        <v>142</v>
      </c>
      <c r="K216" s="46" t="s">
        <v>629</v>
      </c>
      <c r="L216" s="46" t="s">
        <v>626</v>
      </c>
      <c r="N216">
        <v>6.5999999999999899</v>
      </c>
      <c r="O216">
        <v>-3.2</v>
      </c>
    </row>
    <row r="217" spans="4:15">
      <c r="D217" s="46"/>
      <c r="E217" s="46">
        <v>207</v>
      </c>
      <c r="F217" s="46">
        <v>4.5</v>
      </c>
      <c r="G217" s="46">
        <v>150</v>
      </c>
      <c r="H217" s="46">
        <v>2</v>
      </c>
      <c r="I217" s="46" t="s">
        <v>140</v>
      </c>
      <c r="J217" s="46" t="s">
        <v>142</v>
      </c>
      <c r="K217" s="46" t="s">
        <v>629</v>
      </c>
      <c r="L217" s="46" t="s">
        <v>626</v>
      </c>
      <c r="N217">
        <v>6.6999999999999904</v>
      </c>
      <c r="O217">
        <v>-3.4</v>
      </c>
    </row>
    <row r="218" spans="4:15">
      <c r="D218" s="46"/>
      <c r="E218" s="46">
        <v>208</v>
      </c>
      <c r="F218" s="46">
        <v>5.5</v>
      </c>
      <c r="G218" s="46">
        <v>150</v>
      </c>
      <c r="H218" s="46">
        <v>2</v>
      </c>
      <c r="I218" s="46" t="s">
        <v>140</v>
      </c>
      <c r="J218" s="46" t="s">
        <v>142</v>
      </c>
      <c r="K218" s="46" t="s">
        <v>629</v>
      </c>
      <c r="L218" s="46" t="s">
        <v>626</v>
      </c>
      <c r="N218">
        <v>6.7999999999999901</v>
      </c>
      <c r="O218">
        <v>-3.6</v>
      </c>
    </row>
    <row r="219" spans="4:15">
      <c r="D219" s="46" t="s">
        <v>243</v>
      </c>
      <c r="E219" s="46">
        <v>209</v>
      </c>
      <c r="F219" s="46">
        <v>4.5</v>
      </c>
      <c r="G219" s="46">
        <v>-40</v>
      </c>
      <c r="H219" s="46">
        <v>0</v>
      </c>
      <c r="I219" s="46" t="s">
        <v>142</v>
      </c>
      <c r="J219" s="46" t="s">
        <v>142</v>
      </c>
      <c r="K219" s="46" t="s">
        <v>630</v>
      </c>
      <c r="L219" s="46" t="s">
        <v>626</v>
      </c>
      <c r="N219">
        <v>6.8999999999999897</v>
      </c>
      <c r="O219">
        <v>-3.8</v>
      </c>
    </row>
    <row r="220" spans="4:15">
      <c r="D220" s="46"/>
      <c r="E220" s="46">
        <v>210</v>
      </c>
      <c r="F220" s="46">
        <v>5.5</v>
      </c>
      <c r="G220" s="46">
        <v>-40</v>
      </c>
      <c r="H220" s="46">
        <v>0</v>
      </c>
      <c r="I220" s="46" t="s">
        <v>142</v>
      </c>
      <c r="J220" s="46" t="s">
        <v>142</v>
      </c>
      <c r="K220" s="46" t="s">
        <v>630</v>
      </c>
      <c r="L220" s="46" t="s">
        <v>626</v>
      </c>
      <c r="N220">
        <v>6.9999999999999902</v>
      </c>
      <c r="O220">
        <v>-4</v>
      </c>
    </row>
    <row r="221" spans="4:15">
      <c r="D221" s="46"/>
      <c r="E221" s="46">
        <v>211</v>
      </c>
      <c r="F221" s="46">
        <v>4.5</v>
      </c>
      <c r="G221" s="46">
        <v>150</v>
      </c>
      <c r="H221" s="46">
        <v>0</v>
      </c>
      <c r="I221" s="46" t="s">
        <v>142</v>
      </c>
      <c r="J221" s="46" t="s">
        <v>142</v>
      </c>
      <c r="K221" s="46" t="s">
        <v>630</v>
      </c>
      <c r="L221" s="46" t="s">
        <v>626</v>
      </c>
      <c r="N221">
        <v>7.0999999999999899</v>
      </c>
      <c r="O221">
        <v>-4.2</v>
      </c>
    </row>
    <row r="222" spans="4:15">
      <c r="D222" s="46"/>
      <c r="E222" s="46">
        <v>212</v>
      </c>
      <c r="F222" s="46">
        <v>5.5</v>
      </c>
      <c r="G222" s="46">
        <v>150</v>
      </c>
      <c r="H222" s="46">
        <v>0</v>
      </c>
      <c r="I222" s="46" t="s">
        <v>142</v>
      </c>
      <c r="J222" s="46" t="s">
        <v>142</v>
      </c>
      <c r="K222" s="46" t="s">
        <v>630</v>
      </c>
      <c r="L222" s="46" t="s">
        <v>626</v>
      </c>
      <c r="N222">
        <v>7.1999999999999904</v>
      </c>
      <c r="O222">
        <v>-4.4000000000000004</v>
      </c>
    </row>
    <row r="223" spans="4:15">
      <c r="D223" s="46"/>
      <c r="E223" s="46">
        <v>213</v>
      </c>
      <c r="F223" s="46">
        <v>4.5</v>
      </c>
      <c r="G223" s="46">
        <v>-40</v>
      </c>
      <c r="H223" s="46">
        <v>1</v>
      </c>
      <c r="I223" s="46" t="s">
        <v>142</v>
      </c>
      <c r="J223" s="46" t="s">
        <v>142</v>
      </c>
      <c r="K223" s="46" t="s">
        <v>630</v>
      </c>
      <c r="L223" s="46" t="s">
        <v>626</v>
      </c>
      <c r="N223">
        <v>7.2999999999999901</v>
      </c>
      <c r="O223">
        <v>-4.5999999999999996</v>
      </c>
    </row>
    <row r="224" spans="4:15">
      <c r="D224" s="46"/>
      <c r="E224" s="46">
        <v>214</v>
      </c>
      <c r="F224" s="46">
        <v>5.5</v>
      </c>
      <c r="G224" s="46">
        <v>-40</v>
      </c>
      <c r="H224" s="46">
        <v>1</v>
      </c>
      <c r="I224" s="46" t="s">
        <v>142</v>
      </c>
      <c r="J224" s="46" t="s">
        <v>142</v>
      </c>
      <c r="K224" s="46" t="s">
        <v>630</v>
      </c>
      <c r="L224" s="46" t="s">
        <v>626</v>
      </c>
      <c r="N224">
        <v>7.3999999999999897</v>
      </c>
      <c r="O224">
        <v>-4.8</v>
      </c>
    </row>
    <row r="225" spans="4:15">
      <c r="D225" s="46"/>
      <c r="E225" s="46">
        <v>215</v>
      </c>
      <c r="F225" s="46">
        <v>4.5</v>
      </c>
      <c r="G225" s="46">
        <v>150</v>
      </c>
      <c r="H225" s="46">
        <v>1</v>
      </c>
      <c r="I225" s="46" t="s">
        <v>142</v>
      </c>
      <c r="J225" s="46" t="s">
        <v>142</v>
      </c>
      <c r="K225" s="46" t="s">
        <v>630</v>
      </c>
      <c r="L225" s="46" t="s">
        <v>626</v>
      </c>
      <c r="N225">
        <v>7.4999999999999902</v>
      </c>
      <c r="O225">
        <v>-5</v>
      </c>
    </row>
    <row r="226" spans="4:15">
      <c r="D226" s="46"/>
      <c r="E226" s="46">
        <v>216</v>
      </c>
      <c r="F226" s="46">
        <v>5.5</v>
      </c>
      <c r="G226" s="46">
        <v>150</v>
      </c>
      <c r="H226" s="46">
        <v>1</v>
      </c>
      <c r="I226" s="46" t="s">
        <v>142</v>
      </c>
      <c r="J226" s="46" t="s">
        <v>142</v>
      </c>
      <c r="K226" s="46" t="s">
        <v>630</v>
      </c>
      <c r="L226" s="46" t="s">
        <v>626</v>
      </c>
      <c r="N226">
        <v>7.5999999999999899</v>
      </c>
      <c r="O226">
        <v>-5.2</v>
      </c>
    </row>
    <row r="227" spans="4:15">
      <c r="D227" s="46"/>
      <c r="E227" s="46">
        <v>217</v>
      </c>
      <c r="F227" s="46">
        <v>4.5</v>
      </c>
      <c r="G227" s="46">
        <v>-40</v>
      </c>
      <c r="H227" s="46">
        <v>2</v>
      </c>
      <c r="I227" s="46" t="s">
        <v>142</v>
      </c>
      <c r="J227" s="46" t="s">
        <v>142</v>
      </c>
      <c r="K227" s="46" t="s">
        <v>630</v>
      </c>
      <c r="L227" s="46" t="s">
        <v>626</v>
      </c>
      <c r="N227">
        <v>7.6999999999999904</v>
      </c>
      <c r="O227">
        <v>-5.4</v>
      </c>
    </row>
    <row r="228" spans="4:15">
      <c r="D228" s="46"/>
      <c r="E228" s="46">
        <v>218</v>
      </c>
      <c r="F228" s="46">
        <v>5.5</v>
      </c>
      <c r="G228" s="46">
        <v>-40</v>
      </c>
      <c r="H228" s="46">
        <v>2</v>
      </c>
      <c r="I228" s="46" t="s">
        <v>142</v>
      </c>
      <c r="J228" s="46" t="s">
        <v>142</v>
      </c>
      <c r="K228" s="46" t="s">
        <v>630</v>
      </c>
      <c r="L228" s="46" t="s">
        <v>626</v>
      </c>
      <c r="N228">
        <v>7.7999999999999901</v>
      </c>
      <c r="O228">
        <v>-5.6</v>
      </c>
    </row>
    <row r="229" spans="4:15">
      <c r="D229" s="46"/>
      <c r="E229" s="46">
        <v>219</v>
      </c>
      <c r="F229" s="46">
        <v>4.5</v>
      </c>
      <c r="G229" s="46">
        <v>150</v>
      </c>
      <c r="H229" s="46">
        <v>2</v>
      </c>
      <c r="I229" s="46" t="s">
        <v>142</v>
      </c>
      <c r="J229" s="46" t="s">
        <v>142</v>
      </c>
      <c r="K229" s="46" t="s">
        <v>630</v>
      </c>
      <c r="L229" s="46" t="s">
        <v>626</v>
      </c>
      <c r="N229">
        <v>7.8999999999999897</v>
      </c>
      <c r="O229">
        <v>-5.8</v>
      </c>
    </row>
    <row r="230" spans="4:15">
      <c r="D230" s="46"/>
      <c r="E230" s="46">
        <v>220</v>
      </c>
      <c r="F230" s="46">
        <v>5.5</v>
      </c>
      <c r="G230" s="46">
        <v>150</v>
      </c>
      <c r="H230" s="46">
        <v>2</v>
      </c>
      <c r="I230" s="46" t="s">
        <v>142</v>
      </c>
      <c r="J230" s="46" t="s">
        <v>142</v>
      </c>
      <c r="K230" s="46" t="s">
        <v>630</v>
      </c>
      <c r="L230" s="46" t="s">
        <v>626</v>
      </c>
      <c r="N230">
        <v>7.9999999999999902</v>
      </c>
      <c r="O230">
        <v>-6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6:B57"/>
  <sheetViews>
    <sheetView zoomScale="70" zoomScaleNormal="70" workbookViewId="0">
      <selection activeCell="D25" sqref="A25:D26"/>
    </sheetView>
  </sheetViews>
  <sheetFormatPr defaultRowHeight="13"/>
  <cols>
    <col min="2" max="2" width="13.54296875" bestFit="1" customWidth="1"/>
    <col min="3" max="3" width="14.7265625" bestFit="1" customWidth="1"/>
    <col min="4" max="4" width="23.08984375" customWidth="1"/>
  </cols>
  <sheetData>
    <row r="6" spans="1:2">
      <c r="A6">
        <v>-40</v>
      </c>
      <c r="B6">
        <v>1.2350000000000001</v>
      </c>
    </row>
    <row r="7" spans="1:2">
      <c r="A7">
        <v>-30</v>
      </c>
      <c r="B7">
        <v>1.234</v>
      </c>
    </row>
    <row r="8" spans="1:2">
      <c r="A8">
        <v>-20</v>
      </c>
      <c r="B8">
        <v>1.2330000000000001</v>
      </c>
    </row>
    <row r="9" spans="1:2">
      <c r="A9">
        <v>-10</v>
      </c>
      <c r="B9">
        <v>1.2350000000000001</v>
      </c>
    </row>
    <row r="10" spans="1:2">
      <c r="A10">
        <v>0</v>
      </c>
      <c r="B10">
        <v>1.2310000000000001</v>
      </c>
    </row>
    <row r="11" spans="1:2">
      <c r="A11">
        <v>10</v>
      </c>
      <c r="B11">
        <v>1.2310000000000001</v>
      </c>
    </row>
    <row r="12" spans="1:2">
      <c r="A12">
        <v>20</v>
      </c>
      <c r="B12">
        <v>1.232</v>
      </c>
    </row>
    <row r="13" spans="1:2">
      <c r="A13">
        <v>30</v>
      </c>
      <c r="B13">
        <v>1.23</v>
      </c>
    </row>
    <row r="14" spans="1:2">
      <c r="A14">
        <v>40</v>
      </c>
      <c r="B14">
        <v>1.2290000000000001</v>
      </c>
    </row>
    <row r="15" spans="1:2">
      <c r="A15">
        <v>50</v>
      </c>
      <c r="B15">
        <v>1.23</v>
      </c>
    </row>
    <row r="16" spans="1:2">
      <c r="A16">
        <v>60</v>
      </c>
      <c r="B16">
        <v>1.2290000000000001</v>
      </c>
    </row>
    <row r="17" spans="1:2">
      <c r="A17">
        <v>70</v>
      </c>
      <c r="B17">
        <v>1.228</v>
      </c>
    </row>
    <row r="18" spans="1:2">
      <c r="A18">
        <v>80</v>
      </c>
      <c r="B18">
        <v>1.226</v>
      </c>
    </row>
    <row r="19" spans="1:2">
      <c r="A19">
        <v>90</v>
      </c>
      <c r="B19">
        <v>1.2250000000000001</v>
      </c>
    </row>
    <row r="20" spans="1:2">
      <c r="A20">
        <v>100</v>
      </c>
      <c r="B20">
        <v>1.2270000000000001</v>
      </c>
    </row>
    <row r="21" spans="1:2">
      <c r="A21">
        <v>110</v>
      </c>
      <c r="B21">
        <v>1.2250000000000001</v>
      </c>
    </row>
    <row r="22" spans="1:2">
      <c r="A22">
        <v>120</v>
      </c>
      <c r="B22">
        <v>1.224</v>
      </c>
    </row>
    <row r="23" spans="1:2">
      <c r="A23">
        <v>130</v>
      </c>
      <c r="B23">
        <v>1.2250000000000001</v>
      </c>
    </row>
    <row r="24" spans="1:2">
      <c r="A24">
        <v>140</v>
      </c>
      <c r="B24">
        <v>1.224</v>
      </c>
    </row>
    <row r="25" spans="1:2">
      <c r="A25">
        <v>150</v>
      </c>
      <c r="B25">
        <v>1.2230000000000001</v>
      </c>
    </row>
    <row r="26" spans="1:2">
      <c r="A26">
        <v>160</v>
      </c>
      <c r="B26">
        <v>1.2230000000000001</v>
      </c>
    </row>
    <row r="27" spans="1:2">
      <c r="A27">
        <v>170</v>
      </c>
      <c r="B27">
        <v>1.222</v>
      </c>
    </row>
    <row r="36" spans="1:2">
      <c r="A36">
        <v>-40</v>
      </c>
      <c r="B36">
        <v>1.2350000000000001</v>
      </c>
    </row>
    <row r="37" spans="1:2">
      <c r="A37">
        <v>-30</v>
      </c>
      <c r="B37">
        <v>1.234</v>
      </c>
    </row>
    <row r="38" spans="1:2">
      <c r="A38">
        <v>-20</v>
      </c>
      <c r="B38">
        <v>1.2330000000000001</v>
      </c>
    </row>
    <row r="39" spans="1:2">
      <c r="A39">
        <v>-10</v>
      </c>
      <c r="B39">
        <v>1.2350000000000001</v>
      </c>
    </row>
    <row r="40" spans="1:2">
      <c r="A40">
        <v>0</v>
      </c>
      <c r="B40">
        <v>1.2310000000000001</v>
      </c>
    </row>
    <row r="41" spans="1:2">
      <c r="A41">
        <v>10</v>
      </c>
      <c r="B41">
        <v>1.2310000000000001</v>
      </c>
    </row>
    <row r="42" spans="1:2">
      <c r="A42">
        <v>20</v>
      </c>
      <c r="B42">
        <v>1.232</v>
      </c>
    </row>
    <row r="43" spans="1:2">
      <c r="A43">
        <v>30</v>
      </c>
      <c r="B43">
        <v>1.23</v>
      </c>
    </row>
    <row r="44" spans="1:2">
      <c r="A44">
        <v>40</v>
      </c>
      <c r="B44">
        <v>1.2290000000000001</v>
      </c>
    </row>
    <row r="45" spans="1:2">
      <c r="A45">
        <v>50</v>
      </c>
      <c r="B45">
        <v>1.23</v>
      </c>
    </row>
    <row r="46" spans="1:2">
      <c r="A46">
        <v>60</v>
      </c>
      <c r="B46">
        <v>1.2290000000000001</v>
      </c>
    </row>
    <row r="47" spans="1:2">
      <c r="A47">
        <v>70</v>
      </c>
      <c r="B47">
        <v>1.228</v>
      </c>
    </row>
    <row r="48" spans="1:2">
      <c r="A48">
        <v>80</v>
      </c>
      <c r="B48">
        <v>1.226</v>
      </c>
    </row>
    <row r="49" spans="1:2">
      <c r="A49">
        <v>90</v>
      </c>
      <c r="B49">
        <v>1.2250000000000001</v>
      </c>
    </row>
    <row r="50" spans="1:2">
      <c r="A50">
        <v>100</v>
      </c>
      <c r="B50">
        <v>1.2270000000000001</v>
      </c>
    </row>
    <row r="51" spans="1:2">
      <c r="A51">
        <v>110</v>
      </c>
      <c r="B51">
        <v>1.2250000000000001</v>
      </c>
    </row>
    <row r="52" spans="1:2">
      <c r="A52">
        <v>120</v>
      </c>
      <c r="B52">
        <v>1.224</v>
      </c>
    </row>
    <row r="53" spans="1:2">
      <c r="A53">
        <v>130</v>
      </c>
      <c r="B53">
        <v>1.2250000000000001</v>
      </c>
    </row>
    <row r="54" spans="1:2">
      <c r="A54">
        <v>140</v>
      </c>
      <c r="B54">
        <v>1.224</v>
      </c>
    </row>
    <row r="55" spans="1:2">
      <c r="A55">
        <v>150</v>
      </c>
      <c r="B55">
        <v>1.2230000000000001</v>
      </c>
    </row>
    <row r="56" spans="1:2">
      <c r="A56">
        <v>160</v>
      </c>
      <c r="B56">
        <v>1.2230000000000001</v>
      </c>
    </row>
    <row r="57" spans="1:2">
      <c r="A57">
        <v>170</v>
      </c>
      <c r="B57">
        <v>1.222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D2:T165"/>
  <sheetViews>
    <sheetView zoomScale="70" zoomScaleNormal="70" workbookViewId="0">
      <selection activeCell="I21" sqref="I21"/>
    </sheetView>
  </sheetViews>
  <sheetFormatPr defaultRowHeight="13"/>
  <cols>
    <col min="3" max="3" width="11.90625" bestFit="1" customWidth="1"/>
    <col min="4" max="4" width="28.453125" customWidth="1"/>
  </cols>
  <sheetData>
    <row r="2" spans="4:20">
      <c r="D2">
        <v>0</v>
      </c>
      <c r="E2" t="s">
        <v>66</v>
      </c>
      <c r="F2">
        <v>5</v>
      </c>
      <c r="G2">
        <v>4.5</v>
      </c>
      <c r="H2">
        <v>5.5</v>
      </c>
      <c r="L2">
        <v>0</v>
      </c>
      <c r="M2" t="s">
        <v>66</v>
      </c>
      <c r="N2">
        <v>4.5</v>
      </c>
      <c r="O2">
        <v>5.5</v>
      </c>
      <c r="T2">
        <v>2</v>
      </c>
    </row>
    <row r="3" spans="4:20">
      <c r="D3">
        <v>1</v>
      </c>
      <c r="E3" t="s">
        <v>67</v>
      </c>
      <c r="F3">
        <v>25</v>
      </c>
      <c r="G3">
        <v>-40</v>
      </c>
      <c r="H3">
        <v>150</v>
      </c>
      <c r="L3">
        <v>1</v>
      </c>
      <c r="M3" t="s">
        <v>67</v>
      </c>
      <c r="N3">
        <v>-40</v>
      </c>
      <c r="O3">
        <v>150</v>
      </c>
      <c r="T3">
        <v>2</v>
      </c>
    </row>
    <row r="4" spans="4:20">
      <c r="D4">
        <v>2</v>
      </c>
      <c r="E4" t="s">
        <v>182</v>
      </c>
      <c r="F4">
        <v>2</v>
      </c>
      <c r="G4">
        <v>1.998</v>
      </c>
      <c r="H4">
        <v>2.0019999999999998</v>
      </c>
      <c r="L4">
        <v>2</v>
      </c>
      <c r="M4" t="s">
        <v>182</v>
      </c>
      <c r="N4">
        <v>1.998</v>
      </c>
      <c r="O4">
        <v>2.0019999999999998</v>
      </c>
      <c r="T4">
        <v>2</v>
      </c>
    </row>
    <row r="5" spans="4:20">
      <c r="D5">
        <v>3</v>
      </c>
      <c r="E5" t="s">
        <v>132</v>
      </c>
      <c r="F5" t="s">
        <v>33</v>
      </c>
      <c r="L5">
        <v>3</v>
      </c>
      <c r="M5" t="s">
        <v>132</v>
      </c>
      <c r="N5" t="s">
        <v>137</v>
      </c>
      <c r="O5" t="s">
        <v>139</v>
      </c>
      <c r="P5" t="s">
        <v>141</v>
      </c>
      <c r="Q5" t="s">
        <v>143</v>
      </c>
      <c r="T5">
        <v>4</v>
      </c>
    </row>
    <row r="6" spans="4:20">
      <c r="D6">
        <v>4</v>
      </c>
      <c r="E6" t="s">
        <v>149</v>
      </c>
      <c r="F6" t="s">
        <v>33</v>
      </c>
      <c r="L6">
        <v>4</v>
      </c>
      <c r="M6" t="s">
        <v>149</v>
      </c>
      <c r="N6" t="s">
        <v>137</v>
      </c>
      <c r="O6" t="s">
        <v>139</v>
      </c>
      <c r="P6" t="s">
        <v>141</v>
      </c>
      <c r="Q6" t="s">
        <v>143</v>
      </c>
      <c r="T6">
        <v>4</v>
      </c>
    </row>
    <row r="7" spans="4:20">
      <c r="D7">
        <v>5</v>
      </c>
      <c r="E7" t="s">
        <v>151</v>
      </c>
      <c r="F7" t="s">
        <v>33</v>
      </c>
      <c r="K7">
        <v>3</v>
      </c>
      <c r="M7" t="s">
        <v>151</v>
      </c>
      <c r="N7" t="s">
        <v>137</v>
      </c>
      <c r="O7" t="s">
        <v>139</v>
      </c>
      <c r="P7" t="s">
        <v>141</v>
      </c>
      <c r="Q7" t="s">
        <v>143</v>
      </c>
      <c r="T7">
        <v>4</v>
      </c>
    </row>
    <row r="8" spans="4:20">
      <c r="D8">
        <v>6</v>
      </c>
      <c r="E8" t="s">
        <v>135</v>
      </c>
      <c r="F8" t="s">
        <v>33</v>
      </c>
      <c r="K8">
        <v>4</v>
      </c>
      <c r="M8" t="s">
        <v>135</v>
      </c>
      <c r="N8" t="s">
        <v>145</v>
      </c>
      <c r="O8" t="s">
        <v>147</v>
      </c>
      <c r="T8">
        <v>2</v>
      </c>
    </row>
    <row r="10" spans="4:20">
      <c r="D10" t="s">
        <v>152</v>
      </c>
      <c r="E10" t="s">
        <v>66</v>
      </c>
      <c r="F10" t="s">
        <v>67</v>
      </c>
      <c r="G10" t="s">
        <v>183</v>
      </c>
      <c r="H10" t="s">
        <v>132</v>
      </c>
      <c r="I10" t="s">
        <v>148</v>
      </c>
      <c r="J10" t="s">
        <v>150</v>
      </c>
      <c r="K10" t="s">
        <v>134</v>
      </c>
    </row>
    <row r="11" spans="4:20">
      <c r="D11" t="s">
        <v>652</v>
      </c>
      <c r="E11">
        <v>5</v>
      </c>
      <c r="F11">
        <v>25</v>
      </c>
      <c r="G11">
        <v>2</v>
      </c>
      <c r="H11" t="s">
        <v>62</v>
      </c>
      <c r="I11" t="s">
        <v>62</v>
      </c>
      <c r="J11" t="s">
        <v>62</v>
      </c>
      <c r="K11" t="s">
        <v>62</v>
      </c>
    </row>
    <row r="12" spans="4:20">
      <c r="E12">
        <v>4.5</v>
      </c>
      <c r="F12">
        <v>25</v>
      </c>
      <c r="G12">
        <v>2</v>
      </c>
      <c r="H12" t="s">
        <v>62</v>
      </c>
      <c r="I12" t="s">
        <v>62</v>
      </c>
      <c r="J12" t="s">
        <v>62</v>
      </c>
      <c r="K12" t="s">
        <v>62</v>
      </c>
    </row>
    <row r="13" spans="4:20">
      <c r="E13">
        <v>5.5</v>
      </c>
      <c r="F13">
        <v>25</v>
      </c>
      <c r="G13">
        <v>2</v>
      </c>
      <c r="H13" t="s">
        <v>62</v>
      </c>
      <c r="I13" t="s">
        <v>62</v>
      </c>
      <c r="J13" t="s">
        <v>62</v>
      </c>
      <c r="K13" t="s">
        <v>62</v>
      </c>
    </row>
    <row r="14" spans="4:20">
      <c r="E14">
        <v>5</v>
      </c>
      <c r="F14">
        <v>-40</v>
      </c>
      <c r="G14">
        <v>2</v>
      </c>
      <c r="H14" t="s">
        <v>62</v>
      </c>
      <c r="I14" t="s">
        <v>62</v>
      </c>
      <c r="J14" t="s">
        <v>62</v>
      </c>
      <c r="K14" t="s">
        <v>62</v>
      </c>
    </row>
    <row r="15" spans="4:20">
      <c r="E15">
        <v>4.5</v>
      </c>
      <c r="F15">
        <v>-40</v>
      </c>
      <c r="G15">
        <v>2</v>
      </c>
      <c r="H15" t="s">
        <v>62</v>
      </c>
      <c r="I15" t="s">
        <v>62</v>
      </c>
      <c r="J15" t="s">
        <v>62</v>
      </c>
      <c r="K15" t="s">
        <v>62</v>
      </c>
    </row>
    <row r="16" spans="4:20">
      <c r="E16">
        <v>5.5</v>
      </c>
      <c r="F16">
        <v>-40</v>
      </c>
      <c r="G16">
        <v>2</v>
      </c>
      <c r="H16" t="s">
        <v>62</v>
      </c>
      <c r="I16" t="s">
        <v>62</v>
      </c>
      <c r="J16" t="s">
        <v>62</v>
      </c>
      <c r="K16" t="s">
        <v>62</v>
      </c>
    </row>
    <row r="17" spans="5:11">
      <c r="E17">
        <v>5</v>
      </c>
      <c r="F17">
        <v>150</v>
      </c>
      <c r="G17">
        <v>2</v>
      </c>
      <c r="H17" t="s">
        <v>62</v>
      </c>
      <c r="I17" t="s">
        <v>62</v>
      </c>
      <c r="J17" t="s">
        <v>62</v>
      </c>
      <c r="K17" t="s">
        <v>62</v>
      </c>
    </row>
    <row r="18" spans="5:11">
      <c r="E18">
        <v>4.5</v>
      </c>
      <c r="F18">
        <v>150</v>
      </c>
      <c r="G18">
        <v>2</v>
      </c>
      <c r="H18" t="s">
        <v>62</v>
      </c>
      <c r="I18" t="s">
        <v>62</v>
      </c>
      <c r="J18" t="s">
        <v>62</v>
      </c>
      <c r="K18" t="s">
        <v>62</v>
      </c>
    </row>
    <row r="19" spans="5:11">
      <c r="E19">
        <v>5.5</v>
      </c>
      <c r="F19">
        <v>150</v>
      </c>
      <c r="G19">
        <v>2</v>
      </c>
      <c r="H19" t="s">
        <v>62</v>
      </c>
      <c r="I19" t="s">
        <v>62</v>
      </c>
      <c r="J19" t="s">
        <v>62</v>
      </c>
      <c r="K19" t="s">
        <v>62</v>
      </c>
    </row>
    <row r="20" spans="5:11">
      <c r="E20">
        <v>5</v>
      </c>
      <c r="F20">
        <v>25</v>
      </c>
      <c r="G20">
        <v>1.998</v>
      </c>
      <c r="H20" t="s">
        <v>62</v>
      </c>
      <c r="I20" t="s">
        <v>62</v>
      </c>
      <c r="J20" t="s">
        <v>62</v>
      </c>
      <c r="K20" t="s">
        <v>62</v>
      </c>
    </row>
    <row r="21" spans="5:11">
      <c r="E21">
        <v>4.5</v>
      </c>
      <c r="F21">
        <v>25</v>
      </c>
      <c r="G21">
        <v>1.998</v>
      </c>
      <c r="H21" t="s">
        <v>62</v>
      </c>
      <c r="I21" t="s">
        <v>62</v>
      </c>
      <c r="J21" t="s">
        <v>62</v>
      </c>
      <c r="K21" t="s">
        <v>62</v>
      </c>
    </row>
    <row r="22" spans="5:11">
      <c r="E22">
        <v>5.5</v>
      </c>
      <c r="F22">
        <v>25</v>
      </c>
      <c r="G22">
        <v>1.998</v>
      </c>
      <c r="H22" t="s">
        <v>62</v>
      </c>
      <c r="I22" t="s">
        <v>62</v>
      </c>
      <c r="J22" t="s">
        <v>62</v>
      </c>
      <c r="K22" t="s">
        <v>62</v>
      </c>
    </row>
    <row r="23" spans="5:11">
      <c r="E23">
        <v>5</v>
      </c>
      <c r="F23">
        <v>-40</v>
      </c>
      <c r="G23">
        <v>1.998</v>
      </c>
      <c r="H23" t="s">
        <v>62</v>
      </c>
      <c r="I23" t="s">
        <v>62</v>
      </c>
      <c r="J23" t="s">
        <v>62</v>
      </c>
      <c r="K23" t="s">
        <v>62</v>
      </c>
    </row>
    <row r="24" spans="5:11">
      <c r="E24">
        <v>4.5</v>
      </c>
      <c r="F24">
        <v>-40</v>
      </c>
      <c r="G24">
        <v>1.998</v>
      </c>
      <c r="H24" t="s">
        <v>62</v>
      </c>
      <c r="I24" t="s">
        <v>62</v>
      </c>
      <c r="J24" t="s">
        <v>62</v>
      </c>
      <c r="K24" t="s">
        <v>62</v>
      </c>
    </row>
    <row r="25" spans="5:11">
      <c r="E25">
        <v>5.5</v>
      </c>
      <c r="F25">
        <v>-40</v>
      </c>
      <c r="G25">
        <v>1.998</v>
      </c>
      <c r="H25" t="s">
        <v>62</v>
      </c>
      <c r="I25" t="s">
        <v>62</v>
      </c>
      <c r="J25" t="s">
        <v>62</v>
      </c>
      <c r="K25" t="s">
        <v>62</v>
      </c>
    </row>
    <row r="26" spans="5:11">
      <c r="E26">
        <v>5</v>
      </c>
      <c r="F26">
        <v>150</v>
      </c>
      <c r="G26">
        <v>1.998</v>
      </c>
      <c r="H26" t="s">
        <v>62</v>
      </c>
      <c r="I26" t="s">
        <v>62</v>
      </c>
      <c r="J26" t="s">
        <v>62</v>
      </c>
      <c r="K26" t="s">
        <v>62</v>
      </c>
    </row>
    <row r="27" spans="5:11">
      <c r="E27">
        <v>4.5</v>
      </c>
      <c r="F27">
        <v>150</v>
      </c>
      <c r="G27">
        <v>1.998</v>
      </c>
      <c r="H27" t="s">
        <v>62</v>
      </c>
      <c r="I27" t="s">
        <v>62</v>
      </c>
      <c r="J27" t="s">
        <v>62</v>
      </c>
      <c r="K27" t="s">
        <v>62</v>
      </c>
    </row>
    <row r="28" spans="5:11">
      <c r="E28">
        <v>5.5</v>
      </c>
      <c r="F28">
        <v>150</v>
      </c>
      <c r="G28">
        <v>1.998</v>
      </c>
      <c r="H28" t="s">
        <v>62</v>
      </c>
      <c r="I28" t="s">
        <v>62</v>
      </c>
      <c r="J28" t="s">
        <v>62</v>
      </c>
      <c r="K28" t="s">
        <v>62</v>
      </c>
    </row>
    <row r="29" spans="5:11">
      <c r="E29">
        <v>5</v>
      </c>
      <c r="F29">
        <v>25</v>
      </c>
      <c r="G29">
        <v>2.0019999999999998</v>
      </c>
      <c r="H29" t="s">
        <v>62</v>
      </c>
      <c r="I29" t="s">
        <v>62</v>
      </c>
      <c r="J29" t="s">
        <v>62</v>
      </c>
      <c r="K29" t="s">
        <v>62</v>
      </c>
    </row>
    <row r="30" spans="5:11">
      <c r="E30">
        <v>4.5</v>
      </c>
      <c r="F30">
        <v>25</v>
      </c>
      <c r="G30">
        <v>2.0019999999999998</v>
      </c>
      <c r="H30" t="s">
        <v>62</v>
      </c>
      <c r="I30" t="s">
        <v>62</v>
      </c>
      <c r="J30" t="s">
        <v>62</v>
      </c>
      <c r="K30" t="s">
        <v>62</v>
      </c>
    </row>
    <row r="31" spans="5:11">
      <c r="E31">
        <v>5.5</v>
      </c>
      <c r="F31">
        <v>25</v>
      </c>
      <c r="G31">
        <v>2.0019999999999998</v>
      </c>
      <c r="H31" t="s">
        <v>62</v>
      </c>
      <c r="I31" t="s">
        <v>62</v>
      </c>
      <c r="J31" t="s">
        <v>62</v>
      </c>
      <c r="K31" t="s">
        <v>62</v>
      </c>
    </row>
    <row r="32" spans="5:11">
      <c r="E32">
        <v>5</v>
      </c>
      <c r="F32">
        <v>-40</v>
      </c>
      <c r="G32">
        <v>2.0019999999999998</v>
      </c>
      <c r="H32" t="s">
        <v>62</v>
      </c>
      <c r="I32" t="s">
        <v>62</v>
      </c>
      <c r="J32" t="s">
        <v>62</v>
      </c>
      <c r="K32" t="s">
        <v>62</v>
      </c>
    </row>
    <row r="33" spans="4:11">
      <c r="E33">
        <v>4.5</v>
      </c>
      <c r="F33">
        <v>-40</v>
      </c>
      <c r="G33">
        <v>2.0019999999999998</v>
      </c>
      <c r="H33" t="s">
        <v>62</v>
      </c>
      <c r="I33" t="s">
        <v>62</v>
      </c>
      <c r="J33" t="s">
        <v>62</v>
      </c>
      <c r="K33" t="s">
        <v>62</v>
      </c>
    </row>
    <row r="34" spans="4:11">
      <c r="E34">
        <v>5.5</v>
      </c>
      <c r="F34">
        <v>-40</v>
      </c>
      <c r="G34">
        <v>2.0019999999999998</v>
      </c>
      <c r="H34" t="s">
        <v>62</v>
      </c>
      <c r="I34" t="s">
        <v>62</v>
      </c>
      <c r="J34" t="s">
        <v>62</v>
      </c>
      <c r="K34" t="s">
        <v>62</v>
      </c>
    </row>
    <row r="35" spans="4:11">
      <c r="E35">
        <v>5</v>
      </c>
      <c r="F35">
        <v>150</v>
      </c>
      <c r="G35">
        <v>2.0019999999999998</v>
      </c>
      <c r="H35" t="s">
        <v>62</v>
      </c>
      <c r="I35" t="s">
        <v>62</v>
      </c>
      <c r="J35" t="s">
        <v>62</v>
      </c>
      <c r="K35" t="s">
        <v>62</v>
      </c>
    </row>
    <row r="36" spans="4:11">
      <c r="E36">
        <v>4.5</v>
      </c>
      <c r="F36">
        <v>150</v>
      </c>
      <c r="G36">
        <v>2.0019999999999998</v>
      </c>
      <c r="H36" t="s">
        <v>62</v>
      </c>
      <c r="I36" t="s">
        <v>62</v>
      </c>
      <c r="J36" t="s">
        <v>62</v>
      </c>
      <c r="K36" t="s">
        <v>62</v>
      </c>
    </row>
    <row r="37" spans="4:11">
      <c r="E37">
        <v>5.5</v>
      </c>
      <c r="F37">
        <v>150</v>
      </c>
      <c r="G37">
        <v>2.0019999999999998</v>
      </c>
      <c r="H37" t="s">
        <v>62</v>
      </c>
      <c r="I37" t="s">
        <v>62</v>
      </c>
      <c r="J37" t="s">
        <v>62</v>
      </c>
      <c r="K37" t="s">
        <v>62</v>
      </c>
    </row>
    <row r="38" spans="4:11">
      <c r="D38" t="s">
        <v>228</v>
      </c>
      <c r="E38">
        <v>4.5</v>
      </c>
      <c r="F38">
        <v>-40</v>
      </c>
      <c r="G38">
        <v>1.998</v>
      </c>
      <c r="H38" t="s">
        <v>136</v>
      </c>
      <c r="I38" t="s">
        <v>136</v>
      </c>
      <c r="J38" t="s">
        <v>648</v>
      </c>
      <c r="K38" t="s">
        <v>646</v>
      </c>
    </row>
    <row r="39" spans="4:11">
      <c r="E39">
        <v>5.5</v>
      </c>
      <c r="F39">
        <v>-40</v>
      </c>
      <c r="G39">
        <v>1.998</v>
      </c>
      <c r="H39" t="s">
        <v>136</v>
      </c>
      <c r="I39" t="s">
        <v>136</v>
      </c>
      <c r="J39" t="s">
        <v>648</v>
      </c>
      <c r="K39" t="s">
        <v>646</v>
      </c>
    </row>
    <row r="40" spans="4:11">
      <c r="E40">
        <v>4.5</v>
      </c>
      <c r="F40">
        <v>150</v>
      </c>
      <c r="G40">
        <v>1.998</v>
      </c>
      <c r="H40" t="s">
        <v>136</v>
      </c>
      <c r="I40" t="s">
        <v>136</v>
      </c>
      <c r="J40" t="s">
        <v>648</v>
      </c>
      <c r="K40" t="s">
        <v>646</v>
      </c>
    </row>
    <row r="41" spans="4:11">
      <c r="E41">
        <v>5.5</v>
      </c>
      <c r="F41">
        <v>150</v>
      </c>
      <c r="G41">
        <v>1.998</v>
      </c>
      <c r="H41" t="s">
        <v>136</v>
      </c>
      <c r="I41" t="s">
        <v>136</v>
      </c>
      <c r="J41" t="s">
        <v>648</v>
      </c>
      <c r="K41" t="s">
        <v>646</v>
      </c>
    </row>
    <row r="42" spans="4:11">
      <c r="E42">
        <v>4.5</v>
      </c>
      <c r="F42">
        <v>-40</v>
      </c>
      <c r="G42">
        <v>2.0019999999999998</v>
      </c>
      <c r="H42" t="s">
        <v>136</v>
      </c>
      <c r="I42" t="s">
        <v>136</v>
      </c>
      <c r="J42" t="s">
        <v>648</v>
      </c>
      <c r="K42" t="s">
        <v>646</v>
      </c>
    </row>
    <row r="43" spans="4:11">
      <c r="E43">
        <v>5.5</v>
      </c>
      <c r="F43">
        <v>-40</v>
      </c>
      <c r="G43">
        <v>2.0019999999999998</v>
      </c>
      <c r="H43" t="s">
        <v>136</v>
      </c>
      <c r="I43" t="s">
        <v>136</v>
      </c>
      <c r="J43" t="s">
        <v>648</v>
      </c>
      <c r="K43" t="s">
        <v>646</v>
      </c>
    </row>
    <row r="44" spans="4:11">
      <c r="E44">
        <v>4.5</v>
      </c>
      <c r="F44">
        <v>150</v>
      </c>
      <c r="G44">
        <v>2.0019999999999998</v>
      </c>
      <c r="H44" t="s">
        <v>136</v>
      </c>
      <c r="I44" t="s">
        <v>136</v>
      </c>
      <c r="J44" t="s">
        <v>648</v>
      </c>
      <c r="K44" t="s">
        <v>646</v>
      </c>
    </row>
    <row r="45" spans="4:11">
      <c r="E45">
        <v>5.5</v>
      </c>
      <c r="F45">
        <v>150</v>
      </c>
      <c r="G45">
        <v>2.0019999999999998</v>
      </c>
      <c r="H45" t="s">
        <v>136</v>
      </c>
      <c r="I45" t="s">
        <v>136</v>
      </c>
      <c r="J45" t="s">
        <v>648</v>
      </c>
      <c r="K45" t="s">
        <v>646</v>
      </c>
    </row>
    <row r="46" spans="4:11">
      <c r="D46" t="s">
        <v>229</v>
      </c>
      <c r="E46">
        <v>4.5</v>
      </c>
      <c r="F46">
        <v>-40</v>
      </c>
      <c r="G46">
        <v>1.998</v>
      </c>
      <c r="H46" t="s">
        <v>138</v>
      </c>
      <c r="I46" t="s">
        <v>136</v>
      </c>
      <c r="J46" t="s">
        <v>649</v>
      </c>
      <c r="K46" t="s">
        <v>646</v>
      </c>
    </row>
    <row r="47" spans="4:11">
      <c r="E47">
        <v>5.5</v>
      </c>
      <c r="F47">
        <v>-40</v>
      </c>
      <c r="G47">
        <v>1.998</v>
      </c>
      <c r="H47" t="s">
        <v>138</v>
      </c>
      <c r="I47" t="s">
        <v>136</v>
      </c>
      <c r="J47" t="s">
        <v>649</v>
      </c>
      <c r="K47" t="s">
        <v>646</v>
      </c>
    </row>
    <row r="48" spans="4:11">
      <c r="E48">
        <v>4.5</v>
      </c>
      <c r="F48">
        <v>150</v>
      </c>
      <c r="G48">
        <v>1.998</v>
      </c>
      <c r="H48" t="s">
        <v>138</v>
      </c>
      <c r="I48" t="s">
        <v>136</v>
      </c>
      <c r="J48" t="s">
        <v>649</v>
      </c>
      <c r="K48" t="s">
        <v>646</v>
      </c>
    </row>
    <row r="49" spans="4:11">
      <c r="E49">
        <v>5.5</v>
      </c>
      <c r="F49">
        <v>150</v>
      </c>
      <c r="G49">
        <v>1.998</v>
      </c>
      <c r="H49" t="s">
        <v>138</v>
      </c>
      <c r="I49" t="s">
        <v>136</v>
      </c>
      <c r="J49" t="s">
        <v>649</v>
      </c>
      <c r="K49" t="s">
        <v>646</v>
      </c>
    </row>
    <row r="50" spans="4:11">
      <c r="E50">
        <v>4.5</v>
      </c>
      <c r="F50">
        <v>-40</v>
      </c>
      <c r="G50">
        <v>2.0019999999999998</v>
      </c>
      <c r="H50" t="s">
        <v>138</v>
      </c>
      <c r="I50" t="s">
        <v>136</v>
      </c>
      <c r="J50" t="s">
        <v>649</v>
      </c>
      <c r="K50" t="s">
        <v>646</v>
      </c>
    </row>
    <row r="51" spans="4:11">
      <c r="E51">
        <v>5.5</v>
      </c>
      <c r="F51">
        <v>-40</v>
      </c>
      <c r="G51">
        <v>2.0019999999999998</v>
      </c>
      <c r="H51" t="s">
        <v>138</v>
      </c>
      <c r="I51" t="s">
        <v>136</v>
      </c>
      <c r="J51" t="s">
        <v>649</v>
      </c>
      <c r="K51" t="s">
        <v>646</v>
      </c>
    </row>
    <row r="52" spans="4:11">
      <c r="E52">
        <v>4.5</v>
      </c>
      <c r="F52">
        <v>150</v>
      </c>
      <c r="G52">
        <v>2.0019999999999998</v>
      </c>
      <c r="H52" t="s">
        <v>138</v>
      </c>
      <c r="I52" t="s">
        <v>136</v>
      </c>
      <c r="J52" t="s">
        <v>649</v>
      </c>
      <c r="K52" t="s">
        <v>646</v>
      </c>
    </row>
    <row r="53" spans="4:11">
      <c r="E53">
        <v>5.5</v>
      </c>
      <c r="F53">
        <v>150</v>
      </c>
      <c r="G53">
        <v>2.0019999999999998</v>
      </c>
      <c r="H53" t="s">
        <v>138</v>
      </c>
      <c r="I53" t="s">
        <v>136</v>
      </c>
      <c r="J53" t="s">
        <v>649</v>
      </c>
      <c r="K53" t="s">
        <v>646</v>
      </c>
    </row>
    <row r="54" spans="4:11">
      <c r="D54" t="s">
        <v>230</v>
      </c>
      <c r="E54">
        <v>4.5</v>
      </c>
      <c r="F54">
        <v>-40</v>
      </c>
      <c r="G54">
        <v>1.998</v>
      </c>
      <c r="H54" t="s">
        <v>140</v>
      </c>
      <c r="I54" t="s">
        <v>136</v>
      </c>
      <c r="J54" t="s">
        <v>650</v>
      </c>
      <c r="K54" t="s">
        <v>646</v>
      </c>
    </row>
    <row r="55" spans="4:11">
      <c r="E55">
        <v>5.5</v>
      </c>
      <c r="F55">
        <v>-40</v>
      </c>
      <c r="G55">
        <v>1.998</v>
      </c>
      <c r="H55" t="s">
        <v>140</v>
      </c>
      <c r="I55" t="s">
        <v>136</v>
      </c>
      <c r="J55" t="s">
        <v>650</v>
      </c>
      <c r="K55" t="s">
        <v>646</v>
      </c>
    </row>
    <row r="56" spans="4:11">
      <c r="E56">
        <v>4.5</v>
      </c>
      <c r="F56">
        <v>150</v>
      </c>
      <c r="G56">
        <v>1.998</v>
      </c>
      <c r="H56" t="s">
        <v>140</v>
      </c>
      <c r="I56" t="s">
        <v>136</v>
      </c>
      <c r="J56" t="s">
        <v>650</v>
      </c>
      <c r="K56" t="s">
        <v>646</v>
      </c>
    </row>
    <row r="57" spans="4:11">
      <c r="E57">
        <v>5.5</v>
      </c>
      <c r="F57">
        <v>150</v>
      </c>
      <c r="G57">
        <v>1.998</v>
      </c>
      <c r="H57" t="s">
        <v>140</v>
      </c>
      <c r="I57" t="s">
        <v>136</v>
      </c>
      <c r="J57" t="s">
        <v>650</v>
      </c>
      <c r="K57" t="s">
        <v>646</v>
      </c>
    </row>
    <row r="58" spans="4:11">
      <c r="E58">
        <v>4.5</v>
      </c>
      <c r="F58">
        <v>-40</v>
      </c>
      <c r="G58">
        <v>2.0019999999999998</v>
      </c>
      <c r="H58" t="s">
        <v>140</v>
      </c>
      <c r="I58" t="s">
        <v>136</v>
      </c>
      <c r="J58" t="s">
        <v>650</v>
      </c>
      <c r="K58" t="s">
        <v>646</v>
      </c>
    </row>
    <row r="59" spans="4:11">
      <c r="E59">
        <v>5.5</v>
      </c>
      <c r="F59">
        <v>-40</v>
      </c>
      <c r="G59">
        <v>2.0019999999999998</v>
      </c>
      <c r="H59" t="s">
        <v>140</v>
      </c>
      <c r="I59" t="s">
        <v>136</v>
      </c>
      <c r="J59" t="s">
        <v>650</v>
      </c>
      <c r="K59" t="s">
        <v>646</v>
      </c>
    </row>
    <row r="60" spans="4:11">
      <c r="E60">
        <v>4.5</v>
      </c>
      <c r="F60">
        <v>150</v>
      </c>
      <c r="G60">
        <v>2.0019999999999998</v>
      </c>
      <c r="H60" t="s">
        <v>140</v>
      </c>
      <c r="I60" t="s">
        <v>136</v>
      </c>
      <c r="J60" t="s">
        <v>650</v>
      </c>
      <c r="K60" t="s">
        <v>646</v>
      </c>
    </row>
    <row r="61" spans="4:11">
      <c r="E61">
        <v>5.5</v>
      </c>
      <c r="F61">
        <v>150</v>
      </c>
      <c r="G61">
        <v>2.0019999999999998</v>
      </c>
      <c r="H61" t="s">
        <v>140</v>
      </c>
      <c r="I61" t="s">
        <v>136</v>
      </c>
      <c r="J61" t="s">
        <v>650</v>
      </c>
      <c r="K61" t="s">
        <v>646</v>
      </c>
    </row>
    <row r="62" spans="4:11">
      <c r="D62" t="s">
        <v>231</v>
      </c>
      <c r="E62">
        <v>4.5</v>
      </c>
      <c r="F62">
        <v>-40</v>
      </c>
      <c r="G62">
        <v>1.998</v>
      </c>
      <c r="H62" t="s">
        <v>142</v>
      </c>
      <c r="I62" t="s">
        <v>136</v>
      </c>
      <c r="J62" t="s">
        <v>651</v>
      </c>
      <c r="K62" t="s">
        <v>646</v>
      </c>
    </row>
    <row r="63" spans="4:11">
      <c r="E63">
        <v>5.5</v>
      </c>
      <c r="F63">
        <v>-40</v>
      </c>
      <c r="G63">
        <v>1.998</v>
      </c>
      <c r="H63" t="s">
        <v>142</v>
      </c>
      <c r="I63" t="s">
        <v>136</v>
      </c>
      <c r="J63" t="s">
        <v>651</v>
      </c>
      <c r="K63" t="s">
        <v>646</v>
      </c>
    </row>
    <row r="64" spans="4:11">
      <c r="E64">
        <v>4.5</v>
      </c>
      <c r="F64">
        <v>150</v>
      </c>
      <c r="G64">
        <v>1.998</v>
      </c>
      <c r="H64" t="s">
        <v>142</v>
      </c>
      <c r="I64" t="s">
        <v>136</v>
      </c>
      <c r="J64" t="s">
        <v>651</v>
      </c>
      <c r="K64" t="s">
        <v>646</v>
      </c>
    </row>
    <row r="65" spans="4:11">
      <c r="E65">
        <v>5.5</v>
      </c>
      <c r="F65">
        <v>150</v>
      </c>
      <c r="G65">
        <v>1.998</v>
      </c>
      <c r="H65" t="s">
        <v>142</v>
      </c>
      <c r="I65" t="s">
        <v>136</v>
      </c>
      <c r="J65" t="s">
        <v>651</v>
      </c>
      <c r="K65" t="s">
        <v>646</v>
      </c>
    </row>
    <row r="66" spans="4:11">
      <c r="E66">
        <v>4.5</v>
      </c>
      <c r="F66">
        <v>-40</v>
      </c>
      <c r="G66">
        <v>2.0019999999999998</v>
      </c>
      <c r="H66" t="s">
        <v>142</v>
      </c>
      <c r="I66" t="s">
        <v>136</v>
      </c>
      <c r="J66" t="s">
        <v>651</v>
      </c>
      <c r="K66" t="s">
        <v>646</v>
      </c>
    </row>
    <row r="67" spans="4:11">
      <c r="E67">
        <v>5.5</v>
      </c>
      <c r="F67">
        <v>-40</v>
      </c>
      <c r="G67">
        <v>2.0019999999999998</v>
      </c>
      <c r="H67" t="s">
        <v>142</v>
      </c>
      <c r="I67" t="s">
        <v>136</v>
      </c>
      <c r="J67" t="s">
        <v>651</v>
      </c>
      <c r="K67" t="s">
        <v>646</v>
      </c>
    </row>
    <row r="68" spans="4:11">
      <c r="E68">
        <v>4.5</v>
      </c>
      <c r="F68">
        <v>150</v>
      </c>
      <c r="G68">
        <v>2.0019999999999998</v>
      </c>
      <c r="H68" t="s">
        <v>142</v>
      </c>
      <c r="I68" t="s">
        <v>136</v>
      </c>
      <c r="J68" t="s">
        <v>651</v>
      </c>
      <c r="K68" t="s">
        <v>646</v>
      </c>
    </row>
    <row r="69" spans="4:11">
      <c r="E69">
        <v>5.5</v>
      </c>
      <c r="F69">
        <v>150</v>
      </c>
      <c r="G69">
        <v>2.0019999999999998</v>
      </c>
      <c r="H69" t="s">
        <v>142</v>
      </c>
      <c r="I69" t="s">
        <v>136</v>
      </c>
      <c r="J69" t="s">
        <v>651</v>
      </c>
      <c r="K69" t="s">
        <v>646</v>
      </c>
    </row>
    <row r="70" spans="4:11">
      <c r="D70" t="s">
        <v>232</v>
      </c>
      <c r="E70">
        <v>4.5</v>
      </c>
      <c r="F70">
        <v>-40</v>
      </c>
      <c r="G70">
        <v>1.998</v>
      </c>
      <c r="H70" t="s">
        <v>136</v>
      </c>
      <c r="I70" t="s">
        <v>138</v>
      </c>
      <c r="J70" t="s">
        <v>648</v>
      </c>
      <c r="K70" t="s">
        <v>646</v>
      </c>
    </row>
    <row r="71" spans="4:11">
      <c r="E71">
        <v>5.5</v>
      </c>
      <c r="F71">
        <v>-40</v>
      </c>
      <c r="G71">
        <v>1.998</v>
      </c>
      <c r="H71" t="s">
        <v>136</v>
      </c>
      <c r="I71" t="s">
        <v>138</v>
      </c>
      <c r="J71" t="s">
        <v>648</v>
      </c>
      <c r="K71" t="s">
        <v>646</v>
      </c>
    </row>
    <row r="72" spans="4:11">
      <c r="E72">
        <v>4.5</v>
      </c>
      <c r="F72">
        <v>150</v>
      </c>
      <c r="G72">
        <v>1.998</v>
      </c>
      <c r="H72" t="s">
        <v>136</v>
      </c>
      <c r="I72" t="s">
        <v>138</v>
      </c>
      <c r="J72" t="s">
        <v>648</v>
      </c>
      <c r="K72" t="s">
        <v>646</v>
      </c>
    </row>
    <row r="73" spans="4:11">
      <c r="E73">
        <v>5.5</v>
      </c>
      <c r="F73">
        <v>150</v>
      </c>
      <c r="G73">
        <v>1.998</v>
      </c>
      <c r="H73" t="s">
        <v>136</v>
      </c>
      <c r="I73" t="s">
        <v>138</v>
      </c>
      <c r="J73" t="s">
        <v>648</v>
      </c>
      <c r="K73" t="s">
        <v>646</v>
      </c>
    </row>
    <row r="74" spans="4:11">
      <c r="E74">
        <v>4.5</v>
      </c>
      <c r="F74">
        <v>-40</v>
      </c>
      <c r="G74">
        <v>2.0019999999999998</v>
      </c>
      <c r="H74" t="s">
        <v>136</v>
      </c>
      <c r="I74" t="s">
        <v>138</v>
      </c>
      <c r="J74" t="s">
        <v>648</v>
      </c>
      <c r="K74" t="s">
        <v>646</v>
      </c>
    </row>
    <row r="75" spans="4:11">
      <c r="E75">
        <v>5.5</v>
      </c>
      <c r="F75">
        <v>-40</v>
      </c>
      <c r="G75">
        <v>2.0019999999999998</v>
      </c>
      <c r="H75" t="s">
        <v>136</v>
      </c>
      <c r="I75" t="s">
        <v>138</v>
      </c>
      <c r="J75" t="s">
        <v>648</v>
      </c>
      <c r="K75" t="s">
        <v>646</v>
      </c>
    </row>
    <row r="76" spans="4:11">
      <c r="E76">
        <v>4.5</v>
      </c>
      <c r="F76">
        <v>150</v>
      </c>
      <c r="G76">
        <v>2.0019999999999998</v>
      </c>
      <c r="H76" t="s">
        <v>136</v>
      </c>
      <c r="I76" t="s">
        <v>138</v>
      </c>
      <c r="J76" t="s">
        <v>648</v>
      </c>
      <c r="K76" t="s">
        <v>646</v>
      </c>
    </row>
    <row r="77" spans="4:11">
      <c r="E77">
        <v>5.5</v>
      </c>
      <c r="F77">
        <v>150</v>
      </c>
      <c r="G77">
        <v>2.0019999999999998</v>
      </c>
      <c r="H77" t="s">
        <v>136</v>
      </c>
      <c r="I77" t="s">
        <v>138</v>
      </c>
      <c r="J77" t="s">
        <v>648</v>
      </c>
      <c r="K77" t="s">
        <v>646</v>
      </c>
    </row>
    <row r="78" spans="4:11">
      <c r="D78" t="s">
        <v>233</v>
      </c>
      <c r="E78">
        <v>4.5</v>
      </c>
      <c r="F78">
        <v>-40</v>
      </c>
      <c r="G78">
        <v>1.998</v>
      </c>
      <c r="H78" t="s">
        <v>138</v>
      </c>
      <c r="I78" t="s">
        <v>138</v>
      </c>
      <c r="J78" t="s">
        <v>649</v>
      </c>
      <c r="K78" t="s">
        <v>646</v>
      </c>
    </row>
    <row r="79" spans="4:11">
      <c r="E79">
        <v>5.5</v>
      </c>
      <c r="F79">
        <v>-40</v>
      </c>
      <c r="G79">
        <v>1.998</v>
      </c>
      <c r="H79" t="s">
        <v>138</v>
      </c>
      <c r="I79" t="s">
        <v>138</v>
      </c>
      <c r="J79" t="s">
        <v>649</v>
      </c>
      <c r="K79" t="s">
        <v>646</v>
      </c>
    </row>
    <row r="80" spans="4:11">
      <c r="E80">
        <v>4.5</v>
      </c>
      <c r="F80">
        <v>150</v>
      </c>
      <c r="G80">
        <v>1.998</v>
      </c>
      <c r="H80" t="s">
        <v>138</v>
      </c>
      <c r="I80" t="s">
        <v>138</v>
      </c>
      <c r="J80" t="s">
        <v>649</v>
      </c>
      <c r="K80" t="s">
        <v>646</v>
      </c>
    </row>
    <row r="81" spans="4:11">
      <c r="E81">
        <v>5.5</v>
      </c>
      <c r="F81">
        <v>150</v>
      </c>
      <c r="G81">
        <v>1.998</v>
      </c>
      <c r="H81" t="s">
        <v>138</v>
      </c>
      <c r="I81" t="s">
        <v>138</v>
      </c>
      <c r="J81" t="s">
        <v>649</v>
      </c>
      <c r="K81" t="s">
        <v>646</v>
      </c>
    </row>
    <row r="82" spans="4:11">
      <c r="E82">
        <v>4.5</v>
      </c>
      <c r="F82">
        <v>-40</v>
      </c>
      <c r="G82">
        <v>2.0019999999999998</v>
      </c>
      <c r="H82" t="s">
        <v>138</v>
      </c>
      <c r="I82" t="s">
        <v>138</v>
      </c>
      <c r="J82" t="s">
        <v>649</v>
      </c>
      <c r="K82" t="s">
        <v>646</v>
      </c>
    </row>
    <row r="83" spans="4:11">
      <c r="E83">
        <v>5.5</v>
      </c>
      <c r="F83">
        <v>-40</v>
      </c>
      <c r="G83">
        <v>2.0019999999999998</v>
      </c>
      <c r="H83" t="s">
        <v>138</v>
      </c>
      <c r="I83" t="s">
        <v>138</v>
      </c>
      <c r="J83" t="s">
        <v>649</v>
      </c>
      <c r="K83" t="s">
        <v>646</v>
      </c>
    </row>
    <row r="84" spans="4:11">
      <c r="E84">
        <v>4.5</v>
      </c>
      <c r="F84">
        <v>150</v>
      </c>
      <c r="G84">
        <v>2.0019999999999998</v>
      </c>
      <c r="H84" t="s">
        <v>138</v>
      </c>
      <c r="I84" t="s">
        <v>138</v>
      </c>
      <c r="J84" t="s">
        <v>649</v>
      </c>
      <c r="K84" t="s">
        <v>646</v>
      </c>
    </row>
    <row r="85" spans="4:11">
      <c r="E85">
        <v>5.5</v>
      </c>
      <c r="F85">
        <v>150</v>
      </c>
      <c r="G85">
        <v>2.0019999999999998</v>
      </c>
      <c r="H85" t="s">
        <v>138</v>
      </c>
      <c r="I85" t="s">
        <v>138</v>
      </c>
      <c r="J85" t="s">
        <v>649</v>
      </c>
      <c r="K85" t="s">
        <v>646</v>
      </c>
    </row>
    <row r="86" spans="4:11">
      <c r="D86" t="s">
        <v>234</v>
      </c>
      <c r="E86">
        <v>4.5</v>
      </c>
      <c r="F86">
        <v>-40</v>
      </c>
      <c r="G86">
        <v>1.998</v>
      </c>
      <c r="H86" t="s">
        <v>140</v>
      </c>
      <c r="I86" t="s">
        <v>138</v>
      </c>
      <c r="J86" t="s">
        <v>650</v>
      </c>
      <c r="K86" t="s">
        <v>646</v>
      </c>
    </row>
    <row r="87" spans="4:11">
      <c r="E87">
        <v>5.5</v>
      </c>
      <c r="F87">
        <v>-40</v>
      </c>
      <c r="G87">
        <v>1.998</v>
      </c>
      <c r="H87" t="s">
        <v>140</v>
      </c>
      <c r="I87" t="s">
        <v>138</v>
      </c>
      <c r="J87" t="s">
        <v>650</v>
      </c>
      <c r="K87" t="s">
        <v>646</v>
      </c>
    </row>
    <row r="88" spans="4:11">
      <c r="E88">
        <v>4.5</v>
      </c>
      <c r="F88">
        <v>150</v>
      </c>
      <c r="G88">
        <v>1.998</v>
      </c>
      <c r="H88" t="s">
        <v>140</v>
      </c>
      <c r="I88" t="s">
        <v>138</v>
      </c>
      <c r="J88" t="s">
        <v>650</v>
      </c>
      <c r="K88" t="s">
        <v>646</v>
      </c>
    </row>
    <row r="89" spans="4:11">
      <c r="E89">
        <v>5.5</v>
      </c>
      <c r="F89">
        <v>150</v>
      </c>
      <c r="G89">
        <v>1.998</v>
      </c>
      <c r="H89" t="s">
        <v>140</v>
      </c>
      <c r="I89" t="s">
        <v>138</v>
      </c>
      <c r="J89" t="s">
        <v>650</v>
      </c>
      <c r="K89" t="s">
        <v>646</v>
      </c>
    </row>
    <row r="90" spans="4:11">
      <c r="E90">
        <v>4.5</v>
      </c>
      <c r="F90">
        <v>-40</v>
      </c>
      <c r="G90">
        <v>2.0019999999999998</v>
      </c>
      <c r="H90" t="s">
        <v>140</v>
      </c>
      <c r="I90" t="s">
        <v>138</v>
      </c>
      <c r="J90" t="s">
        <v>650</v>
      </c>
      <c r="K90" t="s">
        <v>646</v>
      </c>
    </row>
    <row r="91" spans="4:11">
      <c r="E91">
        <v>5.5</v>
      </c>
      <c r="F91">
        <v>-40</v>
      </c>
      <c r="G91">
        <v>2.0019999999999998</v>
      </c>
      <c r="H91" t="s">
        <v>140</v>
      </c>
      <c r="I91" t="s">
        <v>138</v>
      </c>
      <c r="J91" t="s">
        <v>650</v>
      </c>
      <c r="K91" t="s">
        <v>646</v>
      </c>
    </row>
    <row r="92" spans="4:11">
      <c r="E92">
        <v>4.5</v>
      </c>
      <c r="F92">
        <v>150</v>
      </c>
      <c r="G92">
        <v>2.0019999999999998</v>
      </c>
      <c r="H92" t="s">
        <v>140</v>
      </c>
      <c r="I92" t="s">
        <v>138</v>
      </c>
      <c r="J92" t="s">
        <v>650</v>
      </c>
      <c r="K92" t="s">
        <v>646</v>
      </c>
    </row>
    <row r="93" spans="4:11">
      <c r="E93">
        <v>5.5</v>
      </c>
      <c r="F93">
        <v>150</v>
      </c>
      <c r="G93">
        <v>2.0019999999999998</v>
      </c>
      <c r="H93" t="s">
        <v>140</v>
      </c>
      <c r="I93" t="s">
        <v>138</v>
      </c>
      <c r="J93" t="s">
        <v>650</v>
      </c>
      <c r="K93" t="s">
        <v>646</v>
      </c>
    </row>
    <row r="94" spans="4:11">
      <c r="D94" t="s">
        <v>235</v>
      </c>
      <c r="E94">
        <v>4.5</v>
      </c>
      <c r="F94">
        <v>-40</v>
      </c>
      <c r="G94">
        <v>1.998</v>
      </c>
      <c r="H94" t="s">
        <v>142</v>
      </c>
      <c r="I94" t="s">
        <v>138</v>
      </c>
      <c r="J94" t="s">
        <v>651</v>
      </c>
      <c r="K94" t="s">
        <v>646</v>
      </c>
    </row>
    <row r="95" spans="4:11">
      <c r="E95">
        <v>5.5</v>
      </c>
      <c r="F95">
        <v>-40</v>
      </c>
      <c r="G95">
        <v>1.998</v>
      </c>
      <c r="H95" t="s">
        <v>142</v>
      </c>
      <c r="I95" t="s">
        <v>138</v>
      </c>
      <c r="J95" t="s">
        <v>651</v>
      </c>
      <c r="K95" t="s">
        <v>646</v>
      </c>
    </row>
    <row r="96" spans="4:11">
      <c r="E96">
        <v>4.5</v>
      </c>
      <c r="F96">
        <v>150</v>
      </c>
      <c r="G96">
        <v>1.998</v>
      </c>
      <c r="H96" t="s">
        <v>142</v>
      </c>
      <c r="I96" t="s">
        <v>138</v>
      </c>
      <c r="J96" t="s">
        <v>651</v>
      </c>
      <c r="K96" t="s">
        <v>646</v>
      </c>
    </row>
    <row r="97" spans="4:11">
      <c r="E97">
        <v>5.5</v>
      </c>
      <c r="F97">
        <v>150</v>
      </c>
      <c r="G97">
        <v>1.998</v>
      </c>
      <c r="H97" t="s">
        <v>142</v>
      </c>
      <c r="I97" t="s">
        <v>138</v>
      </c>
      <c r="J97" t="s">
        <v>651</v>
      </c>
      <c r="K97" t="s">
        <v>646</v>
      </c>
    </row>
    <row r="98" spans="4:11">
      <c r="E98">
        <v>4.5</v>
      </c>
      <c r="F98">
        <v>-40</v>
      </c>
      <c r="G98">
        <v>2.0019999999999998</v>
      </c>
      <c r="H98" t="s">
        <v>142</v>
      </c>
      <c r="I98" t="s">
        <v>138</v>
      </c>
      <c r="J98" t="s">
        <v>651</v>
      </c>
      <c r="K98" t="s">
        <v>646</v>
      </c>
    </row>
    <row r="99" spans="4:11">
      <c r="E99">
        <v>5.5</v>
      </c>
      <c r="F99">
        <v>-40</v>
      </c>
      <c r="G99">
        <v>2.0019999999999998</v>
      </c>
      <c r="H99" t="s">
        <v>142</v>
      </c>
      <c r="I99" t="s">
        <v>138</v>
      </c>
      <c r="J99" t="s">
        <v>651</v>
      </c>
      <c r="K99" t="s">
        <v>646</v>
      </c>
    </row>
    <row r="100" spans="4:11">
      <c r="E100">
        <v>4.5</v>
      </c>
      <c r="F100">
        <v>150</v>
      </c>
      <c r="G100">
        <v>2.0019999999999998</v>
      </c>
      <c r="H100" t="s">
        <v>142</v>
      </c>
      <c r="I100" t="s">
        <v>138</v>
      </c>
      <c r="J100" t="s">
        <v>651</v>
      </c>
      <c r="K100" t="s">
        <v>646</v>
      </c>
    </row>
    <row r="101" spans="4:11">
      <c r="E101">
        <v>5.5</v>
      </c>
      <c r="F101">
        <v>150</v>
      </c>
      <c r="G101">
        <v>2.0019999999999998</v>
      </c>
      <c r="H101" t="s">
        <v>142</v>
      </c>
      <c r="I101" t="s">
        <v>138</v>
      </c>
      <c r="J101" t="s">
        <v>651</v>
      </c>
      <c r="K101" t="s">
        <v>646</v>
      </c>
    </row>
    <row r="102" spans="4:11">
      <c r="D102" t="s">
        <v>236</v>
      </c>
      <c r="E102">
        <v>4.5</v>
      </c>
      <c r="F102">
        <v>-40</v>
      </c>
      <c r="G102">
        <v>1.998</v>
      </c>
      <c r="H102" t="s">
        <v>136</v>
      </c>
      <c r="I102" t="s">
        <v>140</v>
      </c>
      <c r="J102" t="s">
        <v>648</v>
      </c>
      <c r="K102" t="s">
        <v>647</v>
      </c>
    </row>
    <row r="103" spans="4:11">
      <c r="E103">
        <v>5.5</v>
      </c>
      <c r="F103">
        <v>-40</v>
      </c>
      <c r="G103">
        <v>1.998</v>
      </c>
      <c r="H103" t="s">
        <v>136</v>
      </c>
      <c r="I103" t="s">
        <v>140</v>
      </c>
      <c r="J103" t="s">
        <v>648</v>
      </c>
      <c r="K103" t="s">
        <v>647</v>
      </c>
    </row>
    <row r="104" spans="4:11">
      <c r="E104">
        <v>4.5</v>
      </c>
      <c r="F104">
        <v>150</v>
      </c>
      <c r="G104">
        <v>1.998</v>
      </c>
      <c r="H104" t="s">
        <v>136</v>
      </c>
      <c r="I104" t="s">
        <v>140</v>
      </c>
      <c r="J104" t="s">
        <v>648</v>
      </c>
      <c r="K104" t="s">
        <v>647</v>
      </c>
    </row>
    <row r="105" spans="4:11">
      <c r="E105">
        <v>5.5</v>
      </c>
      <c r="F105">
        <v>150</v>
      </c>
      <c r="G105">
        <v>1.998</v>
      </c>
      <c r="H105" t="s">
        <v>136</v>
      </c>
      <c r="I105" t="s">
        <v>140</v>
      </c>
      <c r="J105" t="s">
        <v>648</v>
      </c>
      <c r="K105" t="s">
        <v>647</v>
      </c>
    </row>
    <row r="106" spans="4:11">
      <c r="E106">
        <v>4.5</v>
      </c>
      <c r="F106">
        <v>-40</v>
      </c>
      <c r="G106">
        <v>2.0019999999999998</v>
      </c>
      <c r="H106" t="s">
        <v>136</v>
      </c>
      <c r="I106" t="s">
        <v>140</v>
      </c>
      <c r="J106" t="s">
        <v>648</v>
      </c>
      <c r="K106" t="s">
        <v>647</v>
      </c>
    </row>
    <row r="107" spans="4:11">
      <c r="E107">
        <v>5.5</v>
      </c>
      <c r="F107">
        <v>-40</v>
      </c>
      <c r="G107">
        <v>2.0019999999999998</v>
      </c>
      <c r="H107" t="s">
        <v>136</v>
      </c>
      <c r="I107" t="s">
        <v>140</v>
      </c>
      <c r="J107" t="s">
        <v>648</v>
      </c>
      <c r="K107" t="s">
        <v>647</v>
      </c>
    </row>
    <row r="108" spans="4:11">
      <c r="E108">
        <v>4.5</v>
      </c>
      <c r="F108">
        <v>150</v>
      </c>
      <c r="G108">
        <v>2.0019999999999998</v>
      </c>
      <c r="H108" t="s">
        <v>136</v>
      </c>
      <c r="I108" t="s">
        <v>140</v>
      </c>
      <c r="J108" t="s">
        <v>648</v>
      </c>
      <c r="K108" t="s">
        <v>647</v>
      </c>
    </row>
    <row r="109" spans="4:11">
      <c r="E109">
        <v>5.5</v>
      </c>
      <c r="F109">
        <v>150</v>
      </c>
      <c r="G109">
        <v>2.0019999999999998</v>
      </c>
      <c r="H109" t="s">
        <v>136</v>
      </c>
      <c r="I109" t="s">
        <v>140</v>
      </c>
      <c r="J109" t="s">
        <v>648</v>
      </c>
      <c r="K109" t="s">
        <v>647</v>
      </c>
    </row>
    <row r="110" spans="4:11">
      <c r="D110" t="s">
        <v>237</v>
      </c>
      <c r="E110">
        <v>4.5</v>
      </c>
      <c r="F110">
        <v>-40</v>
      </c>
      <c r="G110">
        <v>1.998</v>
      </c>
      <c r="H110" t="s">
        <v>138</v>
      </c>
      <c r="I110" t="s">
        <v>140</v>
      </c>
      <c r="J110" t="s">
        <v>649</v>
      </c>
      <c r="K110" t="s">
        <v>647</v>
      </c>
    </row>
    <row r="111" spans="4:11">
      <c r="E111">
        <v>5.5</v>
      </c>
      <c r="F111">
        <v>-40</v>
      </c>
      <c r="G111">
        <v>1.998</v>
      </c>
      <c r="H111" t="s">
        <v>138</v>
      </c>
      <c r="I111" t="s">
        <v>140</v>
      </c>
      <c r="J111" t="s">
        <v>649</v>
      </c>
      <c r="K111" t="s">
        <v>647</v>
      </c>
    </row>
    <row r="112" spans="4:11">
      <c r="E112">
        <v>4.5</v>
      </c>
      <c r="F112">
        <v>150</v>
      </c>
      <c r="G112">
        <v>1.998</v>
      </c>
      <c r="H112" t="s">
        <v>138</v>
      </c>
      <c r="I112" t="s">
        <v>140</v>
      </c>
      <c r="J112" t="s">
        <v>649</v>
      </c>
      <c r="K112" t="s">
        <v>647</v>
      </c>
    </row>
    <row r="113" spans="4:11">
      <c r="E113">
        <v>5.5</v>
      </c>
      <c r="F113">
        <v>150</v>
      </c>
      <c r="G113">
        <v>1.998</v>
      </c>
      <c r="H113" t="s">
        <v>138</v>
      </c>
      <c r="I113" t="s">
        <v>140</v>
      </c>
      <c r="J113" t="s">
        <v>649</v>
      </c>
      <c r="K113" t="s">
        <v>647</v>
      </c>
    </row>
    <row r="114" spans="4:11">
      <c r="E114">
        <v>4.5</v>
      </c>
      <c r="F114">
        <v>-40</v>
      </c>
      <c r="G114">
        <v>2.0019999999999998</v>
      </c>
      <c r="H114" t="s">
        <v>138</v>
      </c>
      <c r="I114" t="s">
        <v>140</v>
      </c>
      <c r="J114" t="s">
        <v>649</v>
      </c>
      <c r="K114" t="s">
        <v>647</v>
      </c>
    </row>
    <row r="115" spans="4:11">
      <c r="E115">
        <v>5.5</v>
      </c>
      <c r="F115">
        <v>-40</v>
      </c>
      <c r="G115">
        <v>2.0019999999999998</v>
      </c>
      <c r="H115" t="s">
        <v>138</v>
      </c>
      <c r="I115" t="s">
        <v>140</v>
      </c>
      <c r="J115" t="s">
        <v>649</v>
      </c>
      <c r="K115" t="s">
        <v>647</v>
      </c>
    </row>
    <row r="116" spans="4:11">
      <c r="E116">
        <v>4.5</v>
      </c>
      <c r="F116">
        <v>150</v>
      </c>
      <c r="G116">
        <v>2.0019999999999998</v>
      </c>
      <c r="H116" t="s">
        <v>138</v>
      </c>
      <c r="I116" t="s">
        <v>140</v>
      </c>
      <c r="J116" t="s">
        <v>649</v>
      </c>
      <c r="K116" t="s">
        <v>647</v>
      </c>
    </row>
    <row r="117" spans="4:11">
      <c r="E117">
        <v>5.5</v>
      </c>
      <c r="F117">
        <v>150</v>
      </c>
      <c r="G117">
        <v>2.0019999999999998</v>
      </c>
      <c r="H117" t="s">
        <v>138</v>
      </c>
      <c r="I117" t="s">
        <v>140</v>
      </c>
      <c r="J117" t="s">
        <v>649</v>
      </c>
      <c r="K117" t="s">
        <v>647</v>
      </c>
    </row>
    <row r="118" spans="4:11">
      <c r="D118" t="s">
        <v>238</v>
      </c>
      <c r="E118">
        <v>4.5</v>
      </c>
      <c r="F118">
        <v>-40</v>
      </c>
      <c r="G118">
        <v>1.998</v>
      </c>
      <c r="H118" t="s">
        <v>140</v>
      </c>
      <c r="I118" t="s">
        <v>140</v>
      </c>
      <c r="J118" t="s">
        <v>650</v>
      </c>
      <c r="K118" t="s">
        <v>647</v>
      </c>
    </row>
    <row r="119" spans="4:11">
      <c r="E119">
        <v>5.5</v>
      </c>
      <c r="F119">
        <v>-40</v>
      </c>
      <c r="G119">
        <v>1.998</v>
      </c>
      <c r="H119" t="s">
        <v>140</v>
      </c>
      <c r="I119" t="s">
        <v>140</v>
      </c>
      <c r="J119" t="s">
        <v>650</v>
      </c>
      <c r="K119" t="s">
        <v>647</v>
      </c>
    </row>
    <row r="120" spans="4:11">
      <c r="E120">
        <v>4.5</v>
      </c>
      <c r="F120">
        <v>150</v>
      </c>
      <c r="G120">
        <v>1.998</v>
      </c>
      <c r="H120" t="s">
        <v>140</v>
      </c>
      <c r="I120" t="s">
        <v>140</v>
      </c>
      <c r="J120" t="s">
        <v>650</v>
      </c>
      <c r="K120" t="s">
        <v>647</v>
      </c>
    </row>
    <row r="121" spans="4:11">
      <c r="E121">
        <v>5.5</v>
      </c>
      <c r="F121">
        <v>150</v>
      </c>
      <c r="G121">
        <v>1.998</v>
      </c>
      <c r="H121" t="s">
        <v>140</v>
      </c>
      <c r="I121" t="s">
        <v>140</v>
      </c>
      <c r="J121" t="s">
        <v>650</v>
      </c>
      <c r="K121" t="s">
        <v>647</v>
      </c>
    </row>
    <row r="122" spans="4:11">
      <c r="E122">
        <v>4.5</v>
      </c>
      <c r="F122">
        <v>-40</v>
      </c>
      <c r="G122">
        <v>2.0019999999999998</v>
      </c>
      <c r="H122" t="s">
        <v>140</v>
      </c>
      <c r="I122" t="s">
        <v>140</v>
      </c>
      <c r="J122" t="s">
        <v>650</v>
      </c>
      <c r="K122" t="s">
        <v>647</v>
      </c>
    </row>
    <row r="123" spans="4:11">
      <c r="E123">
        <v>5.5</v>
      </c>
      <c r="F123">
        <v>-40</v>
      </c>
      <c r="G123">
        <v>2.0019999999999998</v>
      </c>
      <c r="H123" t="s">
        <v>140</v>
      </c>
      <c r="I123" t="s">
        <v>140</v>
      </c>
      <c r="J123" t="s">
        <v>650</v>
      </c>
      <c r="K123" t="s">
        <v>647</v>
      </c>
    </row>
    <row r="124" spans="4:11">
      <c r="E124">
        <v>4.5</v>
      </c>
      <c r="F124">
        <v>150</v>
      </c>
      <c r="G124">
        <v>2.0019999999999998</v>
      </c>
      <c r="H124" t="s">
        <v>140</v>
      </c>
      <c r="I124" t="s">
        <v>140</v>
      </c>
      <c r="J124" t="s">
        <v>650</v>
      </c>
      <c r="K124" t="s">
        <v>647</v>
      </c>
    </row>
    <row r="125" spans="4:11">
      <c r="E125">
        <v>5.5</v>
      </c>
      <c r="F125">
        <v>150</v>
      </c>
      <c r="G125">
        <v>2.0019999999999998</v>
      </c>
      <c r="H125" t="s">
        <v>140</v>
      </c>
      <c r="I125" t="s">
        <v>140</v>
      </c>
      <c r="J125" t="s">
        <v>650</v>
      </c>
      <c r="K125" t="s">
        <v>647</v>
      </c>
    </row>
    <row r="126" spans="4:11">
      <c r="D126" t="s">
        <v>239</v>
      </c>
      <c r="E126">
        <v>4.5</v>
      </c>
      <c r="F126">
        <v>-40</v>
      </c>
      <c r="G126">
        <v>1.998</v>
      </c>
      <c r="H126" t="s">
        <v>142</v>
      </c>
      <c r="I126" t="s">
        <v>140</v>
      </c>
      <c r="J126" t="s">
        <v>651</v>
      </c>
      <c r="K126" t="s">
        <v>647</v>
      </c>
    </row>
    <row r="127" spans="4:11">
      <c r="E127">
        <v>5.5</v>
      </c>
      <c r="F127">
        <v>-40</v>
      </c>
      <c r="G127">
        <v>1.998</v>
      </c>
      <c r="H127" t="s">
        <v>142</v>
      </c>
      <c r="I127" t="s">
        <v>140</v>
      </c>
      <c r="J127" t="s">
        <v>651</v>
      </c>
      <c r="K127" t="s">
        <v>647</v>
      </c>
    </row>
    <row r="128" spans="4:11">
      <c r="E128">
        <v>4.5</v>
      </c>
      <c r="F128">
        <v>150</v>
      </c>
      <c r="G128">
        <v>1.998</v>
      </c>
      <c r="H128" t="s">
        <v>142</v>
      </c>
      <c r="I128" t="s">
        <v>140</v>
      </c>
      <c r="J128" t="s">
        <v>651</v>
      </c>
      <c r="K128" t="s">
        <v>647</v>
      </c>
    </row>
    <row r="129" spans="4:11">
      <c r="E129">
        <v>5.5</v>
      </c>
      <c r="F129">
        <v>150</v>
      </c>
      <c r="G129">
        <v>1.998</v>
      </c>
      <c r="H129" t="s">
        <v>142</v>
      </c>
      <c r="I129" t="s">
        <v>140</v>
      </c>
      <c r="J129" t="s">
        <v>651</v>
      </c>
      <c r="K129" t="s">
        <v>647</v>
      </c>
    </row>
    <row r="130" spans="4:11">
      <c r="E130">
        <v>4.5</v>
      </c>
      <c r="F130">
        <v>-40</v>
      </c>
      <c r="G130">
        <v>2.0019999999999998</v>
      </c>
      <c r="H130" t="s">
        <v>142</v>
      </c>
      <c r="I130" t="s">
        <v>140</v>
      </c>
      <c r="J130" t="s">
        <v>651</v>
      </c>
      <c r="K130" t="s">
        <v>647</v>
      </c>
    </row>
    <row r="131" spans="4:11">
      <c r="E131">
        <v>5.5</v>
      </c>
      <c r="F131">
        <v>-40</v>
      </c>
      <c r="G131">
        <v>2.0019999999999998</v>
      </c>
      <c r="H131" t="s">
        <v>142</v>
      </c>
      <c r="I131" t="s">
        <v>140</v>
      </c>
      <c r="J131" t="s">
        <v>651</v>
      </c>
      <c r="K131" t="s">
        <v>647</v>
      </c>
    </row>
    <row r="132" spans="4:11">
      <c r="E132">
        <v>4.5</v>
      </c>
      <c r="F132">
        <v>150</v>
      </c>
      <c r="G132">
        <v>2.0019999999999998</v>
      </c>
      <c r="H132" t="s">
        <v>142</v>
      </c>
      <c r="I132" t="s">
        <v>140</v>
      </c>
      <c r="J132" t="s">
        <v>651</v>
      </c>
      <c r="K132" t="s">
        <v>647</v>
      </c>
    </row>
    <row r="133" spans="4:11">
      <c r="E133">
        <v>5.5</v>
      </c>
      <c r="F133">
        <v>150</v>
      </c>
      <c r="G133">
        <v>2.0019999999999998</v>
      </c>
      <c r="H133" t="s">
        <v>142</v>
      </c>
      <c r="I133" t="s">
        <v>140</v>
      </c>
      <c r="J133" t="s">
        <v>651</v>
      </c>
      <c r="K133" t="s">
        <v>647</v>
      </c>
    </row>
    <row r="134" spans="4:11">
      <c r="D134" t="s">
        <v>240</v>
      </c>
      <c r="E134">
        <v>4.5</v>
      </c>
      <c r="F134">
        <v>-40</v>
      </c>
      <c r="G134">
        <v>1.998</v>
      </c>
      <c r="H134" t="s">
        <v>136</v>
      </c>
      <c r="I134" t="s">
        <v>142</v>
      </c>
      <c r="J134" t="s">
        <v>648</v>
      </c>
      <c r="K134" t="s">
        <v>647</v>
      </c>
    </row>
    <row r="135" spans="4:11">
      <c r="E135">
        <v>5.5</v>
      </c>
      <c r="F135">
        <v>-40</v>
      </c>
      <c r="G135">
        <v>1.998</v>
      </c>
      <c r="H135" t="s">
        <v>136</v>
      </c>
      <c r="I135" t="s">
        <v>142</v>
      </c>
      <c r="J135" t="s">
        <v>648</v>
      </c>
      <c r="K135" t="s">
        <v>647</v>
      </c>
    </row>
    <row r="136" spans="4:11">
      <c r="E136">
        <v>4.5</v>
      </c>
      <c r="F136">
        <v>150</v>
      </c>
      <c r="G136">
        <v>1.998</v>
      </c>
      <c r="H136" t="s">
        <v>136</v>
      </c>
      <c r="I136" t="s">
        <v>142</v>
      </c>
      <c r="J136" t="s">
        <v>648</v>
      </c>
      <c r="K136" t="s">
        <v>647</v>
      </c>
    </row>
    <row r="137" spans="4:11">
      <c r="E137">
        <v>5.5</v>
      </c>
      <c r="F137">
        <v>150</v>
      </c>
      <c r="G137">
        <v>1.998</v>
      </c>
      <c r="H137" t="s">
        <v>136</v>
      </c>
      <c r="I137" t="s">
        <v>142</v>
      </c>
      <c r="J137" t="s">
        <v>648</v>
      </c>
      <c r="K137" t="s">
        <v>647</v>
      </c>
    </row>
    <row r="138" spans="4:11">
      <c r="E138">
        <v>4.5</v>
      </c>
      <c r="F138">
        <v>-40</v>
      </c>
      <c r="G138">
        <v>2.0019999999999998</v>
      </c>
      <c r="H138" t="s">
        <v>136</v>
      </c>
      <c r="I138" t="s">
        <v>142</v>
      </c>
      <c r="J138" t="s">
        <v>648</v>
      </c>
      <c r="K138" t="s">
        <v>647</v>
      </c>
    </row>
    <row r="139" spans="4:11">
      <c r="E139">
        <v>5.5</v>
      </c>
      <c r="F139">
        <v>-40</v>
      </c>
      <c r="G139">
        <v>2.0019999999999998</v>
      </c>
      <c r="H139" t="s">
        <v>136</v>
      </c>
      <c r="I139" t="s">
        <v>142</v>
      </c>
      <c r="J139" t="s">
        <v>648</v>
      </c>
      <c r="K139" t="s">
        <v>647</v>
      </c>
    </row>
    <row r="140" spans="4:11">
      <c r="E140">
        <v>4.5</v>
      </c>
      <c r="F140">
        <v>150</v>
      </c>
      <c r="G140">
        <v>2.0019999999999998</v>
      </c>
      <c r="H140" t="s">
        <v>136</v>
      </c>
      <c r="I140" t="s">
        <v>142</v>
      </c>
      <c r="J140" t="s">
        <v>648</v>
      </c>
      <c r="K140" t="s">
        <v>647</v>
      </c>
    </row>
    <row r="141" spans="4:11">
      <c r="E141">
        <v>5.5</v>
      </c>
      <c r="F141">
        <v>150</v>
      </c>
      <c r="G141">
        <v>2.0019999999999998</v>
      </c>
      <c r="H141" t="s">
        <v>136</v>
      </c>
      <c r="I141" t="s">
        <v>142</v>
      </c>
      <c r="J141" t="s">
        <v>648</v>
      </c>
      <c r="K141" t="s">
        <v>647</v>
      </c>
    </row>
    <row r="142" spans="4:11">
      <c r="D142" t="s">
        <v>241</v>
      </c>
      <c r="E142">
        <v>4.5</v>
      </c>
      <c r="F142">
        <v>-40</v>
      </c>
      <c r="G142">
        <v>1.998</v>
      </c>
      <c r="H142" t="s">
        <v>138</v>
      </c>
      <c r="I142" t="s">
        <v>142</v>
      </c>
      <c r="J142" t="s">
        <v>649</v>
      </c>
      <c r="K142" t="s">
        <v>647</v>
      </c>
    </row>
    <row r="143" spans="4:11">
      <c r="E143">
        <v>5.5</v>
      </c>
      <c r="F143">
        <v>-40</v>
      </c>
      <c r="G143">
        <v>1.998</v>
      </c>
      <c r="H143" t="s">
        <v>138</v>
      </c>
      <c r="I143" t="s">
        <v>142</v>
      </c>
      <c r="J143" t="s">
        <v>649</v>
      </c>
      <c r="K143" t="s">
        <v>647</v>
      </c>
    </row>
    <row r="144" spans="4:11">
      <c r="E144">
        <v>4.5</v>
      </c>
      <c r="F144">
        <v>150</v>
      </c>
      <c r="G144">
        <v>1.998</v>
      </c>
      <c r="H144" t="s">
        <v>138</v>
      </c>
      <c r="I144" t="s">
        <v>142</v>
      </c>
      <c r="J144" t="s">
        <v>649</v>
      </c>
      <c r="K144" t="s">
        <v>647</v>
      </c>
    </row>
    <row r="145" spans="4:11">
      <c r="E145">
        <v>5.5</v>
      </c>
      <c r="F145">
        <v>150</v>
      </c>
      <c r="G145">
        <v>1.998</v>
      </c>
      <c r="H145" t="s">
        <v>138</v>
      </c>
      <c r="I145" t="s">
        <v>142</v>
      </c>
      <c r="J145" t="s">
        <v>649</v>
      </c>
      <c r="K145" t="s">
        <v>647</v>
      </c>
    </row>
    <row r="146" spans="4:11">
      <c r="E146">
        <v>4.5</v>
      </c>
      <c r="F146">
        <v>-40</v>
      </c>
      <c r="G146">
        <v>2.0019999999999998</v>
      </c>
      <c r="H146" t="s">
        <v>138</v>
      </c>
      <c r="I146" t="s">
        <v>142</v>
      </c>
      <c r="J146" t="s">
        <v>649</v>
      </c>
      <c r="K146" t="s">
        <v>647</v>
      </c>
    </row>
    <row r="147" spans="4:11">
      <c r="E147">
        <v>5.5</v>
      </c>
      <c r="F147">
        <v>-40</v>
      </c>
      <c r="G147">
        <v>2.0019999999999998</v>
      </c>
      <c r="H147" t="s">
        <v>138</v>
      </c>
      <c r="I147" t="s">
        <v>142</v>
      </c>
      <c r="J147" t="s">
        <v>649</v>
      </c>
      <c r="K147" t="s">
        <v>647</v>
      </c>
    </row>
    <row r="148" spans="4:11">
      <c r="E148">
        <v>4.5</v>
      </c>
      <c r="F148">
        <v>150</v>
      </c>
      <c r="G148">
        <v>2.0019999999999998</v>
      </c>
      <c r="H148" t="s">
        <v>138</v>
      </c>
      <c r="I148" t="s">
        <v>142</v>
      </c>
      <c r="J148" t="s">
        <v>649</v>
      </c>
      <c r="K148" t="s">
        <v>647</v>
      </c>
    </row>
    <row r="149" spans="4:11">
      <c r="E149">
        <v>5.5</v>
      </c>
      <c r="F149">
        <v>150</v>
      </c>
      <c r="G149">
        <v>2.0019999999999998</v>
      </c>
      <c r="H149" t="s">
        <v>138</v>
      </c>
      <c r="I149" t="s">
        <v>142</v>
      </c>
      <c r="J149" t="s">
        <v>649</v>
      </c>
      <c r="K149" t="s">
        <v>647</v>
      </c>
    </row>
    <row r="150" spans="4:11">
      <c r="D150" t="s">
        <v>242</v>
      </c>
      <c r="E150">
        <v>4.5</v>
      </c>
      <c r="F150">
        <v>-40</v>
      </c>
      <c r="G150">
        <v>1.998</v>
      </c>
      <c r="H150" t="s">
        <v>140</v>
      </c>
      <c r="I150" t="s">
        <v>142</v>
      </c>
      <c r="J150" t="s">
        <v>650</v>
      </c>
      <c r="K150" t="s">
        <v>647</v>
      </c>
    </row>
    <row r="151" spans="4:11">
      <c r="E151">
        <v>5.5</v>
      </c>
      <c r="F151">
        <v>-40</v>
      </c>
      <c r="G151">
        <v>1.998</v>
      </c>
      <c r="H151" t="s">
        <v>140</v>
      </c>
      <c r="I151" t="s">
        <v>142</v>
      </c>
      <c r="J151" t="s">
        <v>650</v>
      </c>
      <c r="K151" t="s">
        <v>647</v>
      </c>
    </row>
    <row r="152" spans="4:11">
      <c r="E152">
        <v>4.5</v>
      </c>
      <c r="F152">
        <v>150</v>
      </c>
      <c r="G152">
        <v>1.998</v>
      </c>
      <c r="H152" t="s">
        <v>140</v>
      </c>
      <c r="I152" t="s">
        <v>142</v>
      </c>
      <c r="J152" t="s">
        <v>650</v>
      </c>
      <c r="K152" t="s">
        <v>647</v>
      </c>
    </row>
    <row r="153" spans="4:11">
      <c r="E153">
        <v>5.5</v>
      </c>
      <c r="F153">
        <v>150</v>
      </c>
      <c r="G153">
        <v>1.998</v>
      </c>
      <c r="H153" t="s">
        <v>140</v>
      </c>
      <c r="I153" t="s">
        <v>142</v>
      </c>
      <c r="J153" t="s">
        <v>650</v>
      </c>
      <c r="K153" t="s">
        <v>647</v>
      </c>
    </row>
    <row r="154" spans="4:11">
      <c r="E154">
        <v>4.5</v>
      </c>
      <c r="F154">
        <v>-40</v>
      </c>
      <c r="G154">
        <v>2.0019999999999998</v>
      </c>
      <c r="H154" t="s">
        <v>140</v>
      </c>
      <c r="I154" t="s">
        <v>142</v>
      </c>
      <c r="J154" t="s">
        <v>650</v>
      </c>
      <c r="K154" t="s">
        <v>647</v>
      </c>
    </row>
    <row r="155" spans="4:11">
      <c r="E155">
        <v>5.5</v>
      </c>
      <c r="F155">
        <v>-40</v>
      </c>
      <c r="G155">
        <v>2.0019999999999998</v>
      </c>
      <c r="H155" t="s">
        <v>140</v>
      </c>
      <c r="I155" t="s">
        <v>142</v>
      </c>
      <c r="J155" t="s">
        <v>650</v>
      </c>
      <c r="K155" t="s">
        <v>647</v>
      </c>
    </row>
    <row r="156" spans="4:11">
      <c r="E156">
        <v>4.5</v>
      </c>
      <c r="F156">
        <v>150</v>
      </c>
      <c r="G156">
        <v>2.0019999999999998</v>
      </c>
      <c r="H156" t="s">
        <v>140</v>
      </c>
      <c r="I156" t="s">
        <v>142</v>
      </c>
      <c r="J156" t="s">
        <v>650</v>
      </c>
      <c r="K156" t="s">
        <v>647</v>
      </c>
    </row>
    <row r="157" spans="4:11">
      <c r="E157">
        <v>5.5</v>
      </c>
      <c r="F157">
        <v>150</v>
      </c>
      <c r="G157">
        <v>2.0019999999999998</v>
      </c>
      <c r="H157" t="s">
        <v>140</v>
      </c>
      <c r="I157" t="s">
        <v>142</v>
      </c>
      <c r="J157" t="s">
        <v>650</v>
      </c>
      <c r="K157" t="s">
        <v>647</v>
      </c>
    </row>
    <row r="158" spans="4:11">
      <c r="D158" t="s">
        <v>243</v>
      </c>
      <c r="E158">
        <v>4.5</v>
      </c>
      <c r="F158">
        <v>-40</v>
      </c>
      <c r="G158">
        <v>1.998</v>
      </c>
      <c r="H158" t="s">
        <v>142</v>
      </c>
      <c r="I158" t="s">
        <v>142</v>
      </c>
      <c r="J158" t="s">
        <v>651</v>
      </c>
      <c r="K158" t="s">
        <v>647</v>
      </c>
    </row>
    <row r="159" spans="4:11">
      <c r="E159">
        <v>5.5</v>
      </c>
      <c r="F159">
        <v>-40</v>
      </c>
      <c r="G159">
        <v>1.998</v>
      </c>
      <c r="H159" t="s">
        <v>142</v>
      </c>
      <c r="I159" t="s">
        <v>142</v>
      </c>
      <c r="J159" t="s">
        <v>651</v>
      </c>
      <c r="K159" t="s">
        <v>647</v>
      </c>
    </row>
    <row r="160" spans="4:11">
      <c r="E160">
        <v>4.5</v>
      </c>
      <c r="F160">
        <v>150</v>
      </c>
      <c r="G160">
        <v>1.998</v>
      </c>
      <c r="H160" t="s">
        <v>142</v>
      </c>
      <c r="I160" t="s">
        <v>142</v>
      </c>
      <c r="J160" t="s">
        <v>651</v>
      </c>
      <c r="K160" t="s">
        <v>647</v>
      </c>
    </row>
    <row r="161" spans="5:11">
      <c r="E161">
        <v>5.5</v>
      </c>
      <c r="F161">
        <v>150</v>
      </c>
      <c r="G161">
        <v>1.998</v>
      </c>
      <c r="H161" t="s">
        <v>142</v>
      </c>
      <c r="I161" t="s">
        <v>142</v>
      </c>
      <c r="J161" t="s">
        <v>651</v>
      </c>
      <c r="K161" t="s">
        <v>647</v>
      </c>
    </row>
    <row r="162" spans="5:11">
      <c r="E162">
        <v>4.5</v>
      </c>
      <c r="F162">
        <v>-40</v>
      </c>
      <c r="G162">
        <v>2.0019999999999998</v>
      </c>
      <c r="H162" t="s">
        <v>142</v>
      </c>
      <c r="I162" t="s">
        <v>142</v>
      </c>
      <c r="J162" t="s">
        <v>651</v>
      </c>
      <c r="K162" t="s">
        <v>647</v>
      </c>
    </row>
    <row r="163" spans="5:11">
      <c r="E163">
        <v>5.5</v>
      </c>
      <c r="F163">
        <v>-40</v>
      </c>
      <c r="G163">
        <v>2.0019999999999998</v>
      </c>
      <c r="H163" t="s">
        <v>142</v>
      </c>
      <c r="I163" t="s">
        <v>142</v>
      </c>
      <c r="J163" t="s">
        <v>651</v>
      </c>
      <c r="K163" t="s">
        <v>647</v>
      </c>
    </row>
    <row r="164" spans="5:11">
      <c r="E164">
        <v>4.5</v>
      </c>
      <c r="F164">
        <v>150</v>
      </c>
      <c r="G164">
        <v>2.0019999999999998</v>
      </c>
      <c r="H164" t="s">
        <v>142</v>
      </c>
      <c r="I164" t="s">
        <v>142</v>
      </c>
      <c r="J164" t="s">
        <v>651</v>
      </c>
      <c r="K164" t="s">
        <v>647</v>
      </c>
    </row>
    <row r="165" spans="5:11">
      <c r="E165">
        <v>5.5</v>
      </c>
      <c r="F165">
        <v>150</v>
      </c>
      <c r="G165">
        <v>2.0019999999999998</v>
      </c>
      <c r="H165" t="s">
        <v>142</v>
      </c>
      <c r="I165" t="s">
        <v>142</v>
      </c>
      <c r="J165" t="s">
        <v>651</v>
      </c>
      <c r="K165" t="s">
        <v>647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E7:G21"/>
  <sheetViews>
    <sheetView topLeftCell="C1" workbookViewId="0">
      <selection activeCell="G18" sqref="G18"/>
    </sheetView>
  </sheetViews>
  <sheetFormatPr defaultRowHeight="13"/>
  <cols>
    <col min="5" max="5" width="14.08984375" bestFit="1" customWidth="1"/>
    <col min="6" max="6" width="21.1796875" customWidth="1"/>
  </cols>
  <sheetData>
    <row r="7" spans="5:7">
      <c r="F7" t="s">
        <v>591</v>
      </c>
    </row>
    <row r="8" spans="5:7">
      <c r="F8" t="s">
        <v>589</v>
      </c>
      <c r="G8" t="s">
        <v>590</v>
      </c>
    </row>
    <row r="9" spans="5:7">
      <c r="F9" t="s">
        <v>593</v>
      </c>
    </row>
    <row r="11" spans="5:7">
      <c r="E11" t="s">
        <v>596</v>
      </c>
      <c r="F11" t="s">
        <v>595</v>
      </c>
    </row>
    <row r="12" spans="5:7">
      <c r="E12" t="s">
        <v>594</v>
      </c>
      <c r="F12" t="s">
        <v>562</v>
      </c>
    </row>
    <row r="13" spans="5:7">
      <c r="E13" t="s">
        <v>598</v>
      </c>
      <c r="F13" t="s">
        <v>597</v>
      </c>
    </row>
    <row r="14" spans="5:7">
      <c r="E14" t="s">
        <v>602</v>
      </c>
      <c r="F14" t="s">
        <v>601</v>
      </c>
    </row>
    <row r="15" spans="5:7">
      <c r="E15" t="s">
        <v>607</v>
      </c>
      <c r="F15" t="s">
        <v>606</v>
      </c>
    </row>
    <row r="16" spans="5:7">
      <c r="E16" t="s">
        <v>605</v>
      </c>
      <c r="F16" t="s">
        <v>603</v>
      </c>
      <c r="G16" t="s">
        <v>604</v>
      </c>
    </row>
    <row r="17" spans="5:6">
      <c r="E17" t="s">
        <v>611</v>
      </c>
      <c r="F17" t="s">
        <v>612</v>
      </c>
    </row>
    <row r="18" spans="5:6">
      <c r="E18" t="s">
        <v>611</v>
      </c>
      <c r="F18" t="s">
        <v>610</v>
      </c>
    </row>
    <row r="19" spans="5:6">
      <c r="E19" t="s">
        <v>611</v>
      </c>
      <c r="F19" t="s">
        <v>613</v>
      </c>
    </row>
    <row r="20" spans="5:6">
      <c r="E20" t="s">
        <v>600</v>
      </c>
      <c r="F20" t="s">
        <v>599</v>
      </c>
    </row>
    <row r="21" spans="5:6">
      <c r="E21" t="s">
        <v>609</v>
      </c>
      <c r="F21" t="s">
        <v>608</v>
      </c>
    </row>
  </sheetData>
  <sortState ref="E11:G21">
    <sortCondition descending="1" ref="F11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U48"/>
  <sheetViews>
    <sheetView tabSelected="1" topLeftCell="A12" workbookViewId="0">
      <selection activeCell="D25" sqref="D25:F51"/>
    </sheetView>
  </sheetViews>
  <sheetFormatPr defaultRowHeight="13"/>
  <cols>
    <col min="1" max="1" width="12.81640625" bestFit="1" customWidth="1"/>
    <col min="2" max="2" width="11" bestFit="1" customWidth="1"/>
    <col min="3" max="3" width="5.26953125" bestFit="1" customWidth="1"/>
    <col min="4" max="4" width="5.54296875" customWidth="1"/>
    <col min="5" max="5" width="7.26953125" customWidth="1"/>
    <col min="6" max="6" width="5.54296875" customWidth="1"/>
    <col min="7" max="7" width="5.1796875" customWidth="1"/>
    <col min="8" max="8" width="5.54296875" customWidth="1"/>
    <col min="9" max="9" width="5.1796875" customWidth="1"/>
    <col min="10" max="10" width="5.54296875" customWidth="1"/>
    <col min="11" max="11" width="5.1796875" customWidth="1"/>
    <col min="12" max="12" width="5.54296875" customWidth="1"/>
    <col min="13" max="13" width="5.1796875" customWidth="1"/>
    <col min="14" max="14" width="5.54296875" customWidth="1"/>
    <col min="15" max="15" width="5.1796875" customWidth="1"/>
    <col min="16" max="16" width="5.54296875" customWidth="1"/>
    <col min="17" max="17" width="5.1796875" customWidth="1"/>
    <col min="18" max="18" width="19.453125" bestFit="1" customWidth="1"/>
    <col min="19" max="19" width="17.90625" bestFit="1" customWidth="1"/>
    <col min="20" max="20" width="18.90625" bestFit="1" customWidth="1"/>
    <col min="21" max="21" width="29.7265625" bestFit="1" customWidth="1"/>
  </cols>
  <sheetData>
    <row r="3" spans="1:21">
      <c r="S3" s="1" t="s">
        <v>675</v>
      </c>
      <c r="T3" s="1" t="s">
        <v>740</v>
      </c>
      <c r="U3" s="1" t="s">
        <v>750</v>
      </c>
    </row>
    <row r="4" spans="1:21">
      <c r="S4" t="s">
        <v>676</v>
      </c>
      <c r="T4" t="s">
        <v>741</v>
      </c>
      <c r="U4" t="s">
        <v>751</v>
      </c>
    </row>
    <row r="5" spans="1:21">
      <c r="A5" t="s">
        <v>666</v>
      </c>
      <c r="B5" t="s">
        <v>667</v>
      </c>
      <c r="C5" t="s">
        <v>668</v>
      </c>
      <c r="P5" t="s">
        <v>669</v>
      </c>
      <c r="Q5" t="s">
        <v>670</v>
      </c>
      <c r="R5" t="s">
        <v>673</v>
      </c>
      <c r="S5" t="s">
        <v>674</v>
      </c>
      <c r="T5" t="s">
        <v>674</v>
      </c>
      <c r="U5" t="s">
        <v>674</v>
      </c>
    </row>
    <row r="6" spans="1:21">
      <c r="A6" s="1" t="s">
        <v>677</v>
      </c>
      <c r="B6" s="1" t="s">
        <v>678</v>
      </c>
      <c r="C6" s="1" t="s">
        <v>677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 t="s">
        <v>706</v>
      </c>
      <c r="Q6" s="1" t="s">
        <v>710</v>
      </c>
      <c r="R6" s="1" t="s">
        <v>726</v>
      </c>
      <c r="S6" s="1" t="s">
        <v>734</v>
      </c>
      <c r="T6" s="1" t="s">
        <v>734</v>
      </c>
      <c r="U6" s="1" t="s">
        <v>745</v>
      </c>
    </row>
    <row r="7" spans="1:21">
      <c r="A7" s="1" t="s">
        <v>677</v>
      </c>
      <c r="B7" s="1" t="s">
        <v>679</v>
      </c>
      <c r="C7" s="1" t="s">
        <v>677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 t="s">
        <v>707</v>
      </c>
      <c r="Q7" s="1" t="s">
        <v>711</v>
      </c>
      <c r="R7" s="1" t="s">
        <v>727</v>
      </c>
      <c r="S7" s="1" t="s">
        <v>735</v>
      </c>
      <c r="T7" s="1" t="s">
        <v>742</v>
      </c>
      <c r="U7" s="1" t="s">
        <v>746</v>
      </c>
    </row>
    <row r="8" spans="1:21">
      <c r="A8" s="1" t="s">
        <v>677</v>
      </c>
      <c r="B8" s="1" t="s">
        <v>680</v>
      </c>
      <c r="C8" s="1" t="s">
        <v>677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 t="s">
        <v>708</v>
      </c>
      <c r="Q8" s="1" t="s">
        <v>712</v>
      </c>
      <c r="R8" s="1" t="s">
        <v>728</v>
      </c>
      <c r="U8" s="1" t="s">
        <v>747</v>
      </c>
    </row>
    <row r="9" spans="1:21">
      <c r="A9" s="1" t="s">
        <v>677</v>
      </c>
      <c r="B9" s="1" t="s">
        <v>681</v>
      </c>
      <c r="C9" s="1" t="s">
        <v>677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 t="s">
        <v>709</v>
      </c>
      <c r="Q9" s="1" t="s">
        <v>713</v>
      </c>
      <c r="R9" s="1" t="s">
        <v>729</v>
      </c>
      <c r="S9" s="1" t="s">
        <v>736</v>
      </c>
      <c r="T9" s="1" t="s">
        <v>743</v>
      </c>
      <c r="U9" s="1" t="s">
        <v>748</v>
      </c>
    </row>
    <row r="10" spans="1:21">
      <c r="A10" s="1" t="s">
        <v>677</v>
      </c>
      <c r="B10" s="1" t="s">
        <v>682</v>
      </c>
      <c r="C10" s="1" t="s">
        <v>677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 t="s">
        <v>694</v>
      </c>
      <c r="Q10" s="1" t="s">
        <v>714</v>
      </c>
      <c r="R10" s="1" t="s">
        <v>730</v>
      </c>
      <c r="S10" s="1" t="s">
        <v>737</v>
      </c>
      <c r="T10" s="1" t="s">
        <v>744</v>
      </c>
      <c r="U10" s="1" t="s">
        <v>749</v>
      </c>
    </row>
    <row r="11" spans="1:21">
      <c r="A11" s="1" t="s">
        <v>677</v>
      </c>
      <c r="B11" s="1" t="s">
        <v>683</v>
      </c>
      <c r="C11" s="1" t="s">
        <v>677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 t="s">
        <v>695</v>
      </c>
      <c r="Q11" s="1" t="s">
        <v>715</v>
      </c>
      <c r="R11" s="1" t="s">
        <v>731</v>
      </c>
    </row>
    <row r="12" spans="1:21">
      <c r="A12" s="1" t="s">
        <v>677</v>
      </c>
      <c r="B12" s="1" t="s">
        <v>684</v>
      </c>
      <c r="C12" s="1" t="s">
        <v>677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 t="s">
        <v>696</v>
      </c>
      <c r="Q12" s="1" t="s">
        <v>716</v>
      </c>
      <c r="R12" s="1" t="s">
        <v>732</v>
      </c>
      <c r="S12" s="1" t="s">
        <v>738</v>
      </c>
    </row>
    <row r="13" spans="1:21">
      <c r="A13" s="1" t="s">
        <v>677</v>
      </c>
      <c r="B13" s="1" t="s">
        <v>685</v>
      </c>
      <c r="C13" s="1" t="s">
        <v>677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 t="s">
        <v>697</v>
      </c>
      <c r="Q13" s="1" t="s">
        <v>717</v>
      </c>
      <c r="R13" s="1" t="s">
        <v>733</v>
      </c>
    </row>
    <row r="14" spans="1:21">
      <c r="A14" s="1" t="s">
        <v>677</v>
      </c>
      <c r="B14" s="1" t="s">
        <v>686</v>
      </c>
      <c r="C14" s="1" t="s">
        <v>677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 t="s">
        <v>698</v>
      </c>
      <c r="Q14" s="1" t="s">
        <v>718</v>
      </c>
      <c r="R14" s="1" t="s">
        <v>732</v>
      </c>
      <c r="S14" s="1" t="s">
        <v>739</v>
      </c>
    </row>
    <row r="15" spans="1:21">
      <c r="A15" s="1" t="s">
        <v>677</v>
      </c>
      <c r="B15" s="1" t="s">
        <v>687</v>
      </c>
      <c r="C15" s="1" t="s">
        <v>677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 t="s">
        <v>699</v>
      </c>
      <c r="Q15" s="1" t="s">
        <v>719</v>
      </c>
      <c r="R15" s="1" t="s">
        <v>733</v>
      </c>
    </row>
    <row r="16" spans="1:21">
      <c r="A16" s="1" t="s">
        <v>677</v>
      </c>
      <c r="B16" s="1" t="s">
        <v>688</v>
      </c>
      <c r="C16" s="1" t="s">
        <v>677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700</v>
      </c>
      <c r="Q16" s="1" t="s">
        <v>720</v>
      </c>
      <c r="R16" s="1" t="s">
        <v>733</v>
      </c>
      <c r="S16" s="1" t="s">
        <v>752</v>
      </c>
      <c r="T16" s="1" t="s">
        <v>752</v>
      </c>
      <c r="U16" s="1" t="s">
        <v>752</v>
      </c>
    </row>
    <row r="17" spans="1:21">
      <c r="A17" s="1" t="s">
        <v>677</v>
      </c>
      <c r="B17" s="1" t="s">
        <v>689</v>
      </c>
      <c r="C17" s="1" t="s">
        <v>677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 t="s">
        <v>701</v>
      </c>
      <c r="Q17" s="1" t="s">
        <v>721</v>
      </c>
      <c r="R17" s="1" t="s">
        <v>733</v>
      </c>
    </row>
    <row r="18" spans="1:21">
      <c r="A18" s="1" t="s">
        <v>677</v>
      </c>
      <c r="B18" s="1" t="s">
        <v>690</v>
      </c>
      <c r="C18" s="1" t="s">
        <v>677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 t="s">
        <v>702</v>
      </c>
      <c r="Q18" s="1" t="s">
        <v>722</v>
      </c>
      <c r="R18" s="1" t="s">
        <v>733</v>
      </c>
      <c r="U18" s="1" t="s">
        <v>753</v>
      </c>
    </row>
    <row r="19" spans="1:21">
      <c r="A19" s="1" t="s">
        <v>677</v>
      </c>
      <c r="B19" s="1" t="s">
        <v>691</v>
      </c>
      <c r="C19" s="1" t="s">
        <v>677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 t="s">
        <v>703</v>
      </c>
      <c r="Q19" s="1" t="s">
        <v>723</v>
      </c>
      <c r="R19" s="1" t="s">
        <v>733</v>
      </c>
    </row>
    <row r="20" spans="1:21">
      <c r="A20" s="1" t="s">
        <v>677</v>
      </c>
      <c r="B20" s="1" t="s">
        <v>692</v>
      </c>
      <c r="C20" s="1" t="s">
        <v>677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 t="s">
        <v>704</v>
      </c>
      <c r="Q20" s="1" t="s">
        <v>724</v>
      </c>
      <c r="R20" s="1" t="s">
        <v>733</v>
      </c>
    </row>
    <row r="21" spans="1:21">
      <c r="A21" s="1" t="s">
        <v>677</v>
      </c>
      <c r="B21" s="1" t="s">
        <v>693</v>
      </c>
      <c r="C21" s="1" t="s">
        <v>677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 t="s">
        <v>705</v>
      </c>
      <c r="Q21" s="1" t="s">
        <v>725</v>
      </c>
      <c r="R21" s="1" t="s">
        <v>733</v>
      </c>
    </row>
    <row r="25" spans="1:21"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21"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21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21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21">
      <c r="D29" s="1"/>
      <c r="F29" s="1"/>
      <c r="H29" s="1"/>
      <c r="J29" s="1"/>
      <c r="L29" s="1"/>
      <c r="M29" s="1"/>
      <c r="N29" s="1"/>
      <c r="O29" s="1"/>
      <c r="P29" s="1"/>
    </row>
    <row r="30" spans="1:21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21">
      <c r="D31" s="1"/>
      <c r="F31" s="1"/>
      <c r="H31" s="1"/>
      <c r="J31" s="1"/>
      <c r="L31" s="1"/>
      <c r="M31" s="1"/>
      <c r="N31" s="1"/>
      <c r="O31" s="1"/>
      <c r="P31" s="1"/>
    </row>
    <row r="32" spans="1:21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4:16">
      <c r="D33" s="1"/>
      <c r="E33" s="1"/>
      <c r="L33" s="1"/>
      <c r="M33" s="1"/>
      <c r="N33" s="1"/>
      <c r="O33" s="1"/>
      <c r="P33" s="1"/>
    </row>
    <row r="34" spans="4:16">
      <c r="D34" s="1"/>
      <c r="E34" s="1"/>
    </row>
    <row r="35" spans="4:16">
      <c r="D35" s="1"/>
      <c r="E35" s="1"/>
    </row>
    <row r="36" spans="4:16">
      <c r="D36" s="1"/>
    </row>
    <row r="37" spans="4:16">
      <c r="D37" s="1"/>
      <c r="E37" s="1"/>
    </row>
    <row r="38" spans="4:16">
      <c r="D38" s="1"/>
    </row>
    <row r="39" spans="4:16">
      <c r="D39" s="1"/>
      <c r="E39" s="1"/>
    </row>
    <row r="40" spans="4:16">
      <c r="D40" s="1"/>
    </row>
    <row r="41" spans="4:16">
      <c r="D41" s="1"/>
      <c r="E41" s="1"/>
    </row>
    <row r="42" spans="4:16">
      <c r="D42" s="1"/>
      <c r="E42" s="1"/>
    </row>
    <row r="43" spans="4:16">
      <c r="D43" s="1"/>
      <c r="E43" s="1"/>
    </row>
    <row r="44" spans="4:16">
      <c r="D44" s="1"/>
      <c r="E44" s="1"/>
    </row>
    <row r="45" spans="4:16">
      <c r="D45" s="1"/>
    </row>
    <row r="46" spans="4:16">
      <c r="D46" s="1"/>
    </row>
    <row r="47" spans="4:16">
      <c r="D47" s="1"/>
      <c r="E47" s="1"/>
    </row>
    <row r="48" spans="4:16">
      <c r="D48" s="1"/>
      <c r="E48" s="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4:H32"/>
  <sheetViews>
    <sheetView topLeftCell="A10" workbookViewId="0">
      <selection activeCell="D24" sqref="D24:F33"/>
    </sheetView>
  </sheetViews>
  <sheetFormatPr defaultRowHeight="13"/>
  <cols>
    <col min="1" max="1" width="12.81640625" bestFit="1" customWidth="1"/>
    <col min="2" max="2" width="11" bestFit="1" customWidth="1"/>
    <col min="3" max="3" width="5.26953125" bestFit="1" customWidth="1"/>
    <col min="4" max="4" width="5.54296875" customWidth="1"/>
    <col min="5" max="5" width="5.1796875" customWidth="1"/>
  </cols>
  <sheetData>
    <row r="4" spans="1:8">
      <c r="A4" t="s">
        <v>672</v>
      </c>
      <c r="B4" t="s">
        <v>666</v>
      </c>
      <c r="C4" t="s">
        <v>667</v>
      </c>
      <c r="D4" t="s">
        <v>668</v>
      </c>
      <c r="E4" t="s">
        <v>669</v>
      </c>
      <c r="F4" t="s">
        <v>670</v>
      </c>
      <c r="G4" t="s">
        <v>668</v>
      </c>
      <c r="H4" t="s">
        <v>671</v>
      </c>
    </row>
    <row r="25" spans="4:4">
      <c r="D25" s="1"/>
    </row>
    <row r="26" spans="4:4">
      <c r="D26" s="1"/>
    </row>
    <row r="27" spans="4:4">
      <c r="D27" s="1"/>
    </row>
    <row r="28" spans="4:4">
      <c r="D28" s="1"/>
    </row>
    <row r="29" spans="4:4">
      <c r="D29" s="1"/>
    </row>
    <row r="30" spans="4:4">
      <c r="D30" s="1"/>
    </row>
    <row r="31" spans="4:4">
      <c r="D31" s="1"/>
    </row>
    <row r="32" spans="4:4">
      <c r="D32" s="1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C4:D11"/>
  <sheetViews>
    <sheetView workbookViewId="0">
      <selection activeCell="G13" sqref="G13"/>
    </sheetView>
  </sheetViews>
  <sheetFormatPr defaultRowHeight="13"/>
  <cols>
    <col min="3" max="3" width="5.54296875" customWidth="1"/>
    <col min="4" max="4" width="6.81640625" customWidth="1"/>
    <col min="6" max="6" width="5.54296875" bestFit="1" customWidth="1"/>
    <col min="7" max="7" width="6.81640625" bestFit="1" customWidth="1"/>
  </cols>
  <sheetData>
    <row r="4" spans="3:4">
      <c r="C4" s="1"/>
      <c r="D4" s="1"/>
    </row>
    <row r="5" spans="3:4">
      <c r="C5" s="1"/>
      <c r="D5" s="1"/>
    </row>
    <row r="6" spans="3:4">
      <c r="C6" s="1"/>
      <c r="D6" s="1"/>
    </row>
    <row r="7" spans="3:4">
      <c r="C7" s="1"/>
    </row>
    <row r="8" spans="3:4">
      <c r="C8" s="1"/>
      <c r="D8" s="1"/>
    </row>
    <row r="9" spans="3:4">
      <c r="C9" s="1"/>
    </row>
    <row r="10" spans="3:4">
      <c r="C10" s="1"/>
      <c r="D10" s="1"/>
    </row>
    <row r="11" spans="3:4">
      <c r="C11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macroﾃﾞﾊﾞｯｸﾞはまり事例</vt:lpstr>
      <vt:lpstr>Sheet1</vt:lpstr>
      <vt:lpstr>Sheet2</vt:lpstr>
      <vt:lpstr>Sheet3</vt:lpstr>
      <vt:lpstr>Sheet3 (3)</vt:lpstr>
      <vt:lpstr>Sheet4</vt:lpstr>
      <vt:lpstr>Sheet4 (3)</vt:lpstr>
      <vt:lpstr>Sheet5</vt:lpstr>
      <vt:lpstr>Sheet4 (2)</vt:lpstr>
      <vt:lpstr>Sheet7</vt:lpstr>
      <vt:lpstr>Sheet7 (2)</vt:lpstr>
      <vt:lpstr>Sheet6</vt:lpstr>
      <vt:lpstr>Sheet8</vt:lpstr>
      <vt:lpstr>Sheet8(2)</vt:lpstr>
      <vt:lpstr>Sheet11</vt:lpstr>
      <vt:lpstr>Sheet9</vt:lpstr>
      <vt:lpstr>Sheet12</vt:lpstr>
      <vt:lpstr>Sheet13</vt:lpstr>
      <vt:lpstr>Sheet14</vt:lpstr>
      <vt:lpstr>Sheet15</vt:lpstr>
      <vt:lpstr>Sheet16</vt:lpstr>
      <vt:lpstr>ADXL_RESULT作成</vt:lpstr>
      <vt:lpstr>まとめ＿</vt:lpstr>
      <vt:lpstr>Sheet14 (3)</vt:lpstr>
      <vt:lpstr>ADXL_RESULT_select作成</vt:lpstr>
      <vt:lpstr>Sheet17</vt:lpstr>
      <vt:lpstr>make_alter作成</vt:lpstr>
      <vt:lpstr>probe_devide作成</vt:lpstr>
      <vt:lpstr>NTTD国税_分析表作成</vt:lpstr>
      <vt:lpstr>NTTD国税_貼り付け</vt:lpstr>
      <vt:lpstr>Sheet10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anai</dc:creator>
  <cp:lastModifiedBy>Windows User</cp:lastModifiedBy>
  <dcterms:created xsi:type="dcterms:W3CDTF">1997-01-08T22:48:59Z</dcterms:created>
  <dcterms:modified xsi:type="dcterms:W3CDTF">2020-08-17T10:01:25Z</dcterms:modified>
</cp:coreProperties>
</file>